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muke\Desktop\ML LAB R23\FINAL MAM\P1\"/>
    </mc:Choice>
  </mc:AlternateContent>
  <xr:revisionPtr revIDLastSave="0" documentId="13_ncr:1_{13AACC9E-78FA-45EE-9D4E-F7EDC372781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SB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8" i="1" l="1"/>
  <c r="O69" i="1"/>
  <c r="O70" i="1"/>
  <c r="O71" i="1"/>
  <c r="O67" i="1"/>
  <c r="Q68" i="1"/>
  <c r="Q69" i="1"/>
  <c r="Q70" i="1"/>
  <c r="Q71" i="1"/>
  <c r="Q67" i="1"/>
  <c r="O61" i="1"/>
  <c r="O62" i="1"/>
  <c r="O63" i="1"/>
  <c r="O64" i="1"/>
  <c r="O60" i="1"/>
  <c r="Q61" i="1"/>
  <c r="Q62" i="1"/>
  <c r="Q63" i="1"/>
  <c r="Q64" i="1"/>
  <c r="Q60" i="1"/>
  <c r="O54" i="1"/>
  <c r="O55" i="1"/>
  <c r="O56" i="1"/>
  <c r="O57" i="1"/>
  <c r="O53" i="1"/>
  <c r="Q4" i="1"/>
  <c r="Q54" i="1"/>
  <c r="Q55" i="1"/>
  <c r="Q56" i="1"/>
  <c r="Q57" i="1"/>
  <c r="Q53" i="1"/>
  <c r="Q5" i="1"/>
  <c r="Q6" i="1"/>
  <c r="Q7" i="1"/>
  <c r="Q8" i="1"/>
  <c r="Q11" i="1"/>
  <c r="Q12" i="1"/>
  <c r="Q13" i="1"/>
  <c r="Q14" i="1"/>
  <c r="Q15" i="1"/>
  <c r="Q18" i="1"/>
  <c r="Q19" i="1"/>
  <c r="Q20" i="1"/>
  <c r="Q21" i="1"/>
  <c r="Q22" i="1"/>
  <c r="Q25" i="1"/>
  <c r="Q26" i="1"/>
  <c r="Q27" i="1"/>
  <c r="Q28" i="1"/>
  <c r="Q29" i="1"/>
  <c r="Q32" i="1"/>
  <c r="Q33" i="1"/>
  <c r="Q34" i="1"/>
  <c r="Q35" i="1"/>
  <c r="Q36" i="1"/>
  <c r="Q39" i="1"/>
  <c r="Q40" i="1"/>
  <c r="Q41" i="1"/>
  <c r="Q42" i="1"/>
  <c r="Q43" i="1"/>
  <c r="Q46" i="1"/>
  <c r="Q47" i="1"/>
  <c r="Q48" i="1"/>
  <c r="Q49" i="1"/>
  <c r="Q50" i="1"/>
  <c r="O40" i="1"/>
  <c r="O41" i="1"/>
  <c r="O42" i="1"/>
  <c r="O43" i="1"/>
  <c r="O39" i="1"/>
  <c r="O47" i="1"/>
  <c r="O48" i="1"/>
  <c r="O49" i="1"/>
  <c r="O50" i="1"/>
  <c r="O46" i="1"/>
  <c r="O33" i="1"/>
  <c r="O34" i="1"/>
  <c r="O35" i="1"/>
  <c r="O36" i="1"/>
  <c r="O32" i="1"/>
  <c r="O26" i="1"/>
  <c r="O27" i="1"/>
  <c r="O28" i="1"/>
  <c r="O29" i="1"/>
  <c r="O25" i="1"/>
  <c r="O19" i="1"/>
  <c r="O20" i="1"/>
  <c r="O21" i="1"/>
  <c r="O22" i="1"/>
  <c r="O18" i="1"/>
  <c r="O12" i="1"/>
  <c r="O13" i="1"/>
  <c r="O14" i="1"/>
  <c r="O15" i="1"/>
  <c r="O11" i="1"/>
  <c r="O4" i="1"/>
  <c r="O5" i="1"/>
  <c r="O6" i="1"/>
  <c r="O7" i="1"/>
  <c r="O8" i="1"/>
</calcChain>
</file>

<file path=xl/sharedStrings.xml><?xml version="1.0" encoding="utf-8"?>
<sst xmlns="http://schemas.openxmlformats.org/spreadsheetml/2006/main" count="67" uniqueCount="66">
  <si>
    <t>Name of the Bank</t>
  </si>
  <si>
    <t>ROCE(%)</t>
  </si>
  <si>
    <t>Net Profit  Margin (%)</t>
  </si>
  <si>
    <t>ROA( %)</t>
  </si>
  <si>
    <t>ROE ( %)</t>
  </si>
  <si>
    <t>NIM</t>
  </si>
  <si>
    <t>Cost to Income</t>
  </si>
  <si>
    <t>Financial Performance</t>
  </si>
  <si>
    <t>Price to Book Value</t>
  </si>
  <si>
    <t>SBI</t>
  </si>
  <si>
    <t>CAR %</t>
  </si>
  <si>
    <t>CASA Ratio</t>
  </si>
  <si>
    <t>Net NPA%</t>
  </si>
  <si>
    <t>Share Price</t>
  </si>
  <si>
    <t>PNB</t>
  </si>
  <si>
    <t>Growth %</t>
  </si>
  <si>
    <t>Stock performance</t>
  </si>
  <si>
    <t>Canara</t>
  </si>
  <si>
    <t>BOB</t>
  </si>
  <si>
    <t>BOI</t>
  </si>
  <si>
    <t>Indian Bank</t>
  </si>
  <si>
    <t>Union bank of India</t>
  </si>
  <si>
    <t>HDFC</t>
  </si>
  <si>
    <t>ICICI</t>
  </si>
  <si>
    <t>Indusind</t>
  </si>
  <si>
    <t>LA/TA</t>
  </si>
  <si>
    <t>LA</t>
  </si>
  <si>
    <t>TA</t>
  </si>
  <si>
    <t>Punjab &amp; Sind Bank</t>
  </si>
  <si>
    <t>Central Bank of India</t>
  </si>
  <si>
    <t>FY</t>
  </si>
  <si>
    <t>Indian overseas Bank</t>
  </si>
  <si>
    <t>RBL</t>
  </si>
  <si>
    <t>DCB</t>
  </si>
  <si>
    <t>Federal</t>
  </si>
  <si>
    <t>IDBI</t>
  </si>
  <si>
    <t>J &amp; K Bank</t>
  </si>
  <si>
    <t>Karur Vyasya Bank</t>
  </si>
  <si>
    <t>Bandhan</t>
  </si>
  <si>
    <t>South Indian</t>
  </si>
  <si>
    <t>State Bank of India</t>
  </si>
  <si>
    <t>Punjab National Bank</t>
  </si>
  <si>
    <t>Canara Bank</t>
  </si>
  <si>
    <t>Bankof Boroda</t>
  </si>
  <si>
    <t>Bank of India</t>
  </si>
  <si>
    <t>Indian bank</t>
  </si>
  <si>
    <t>Union Bank of India</t>
  </si>
  <si>
    <t>Central bank of india</t>
  </si>
  <si>
    <t>Indian Overseas Bank</t>
  </si>
  <si>
    <t>Bank of Maharastra</t>
  </si>
  <si>
    <t>Uco bank</t>
  </si>
  <si>
    <t xml:space="preserve">Axis </t>
  </si>
  <si>
    <t>Yes</t>
  </si>
  <si>
    <t>City Union</t>
  </si>
  <si>
    <t>Dhanalaxmi</t>
  </si>
  <si>
    <t>CSB Bank</t>
  </si>
  <si>
    <t>Karnatak</t>
  </si>
  <si>
    <t>Ujjivan</t>
  </si>
  <si>
    <t>SL No</t>
  </si>
  <si>
    <t>Name of Bank</t>
  </si>
  <si>
    <t>Types of Bank</t>
  </si>
  <si>
    <t>Public Sector Bank</t>
  </si>
  <si>
    <t>IDFC Bank</t>
  </si>
  <si>
    <t>Private Sector Bank</t>
  </si>
  <si>
    <t>Small Finance Bank</t>
  </si>
  <si>
    <t>Kotak Mahindra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</si>
</sst>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[Red]\-0.00\ 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1E7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999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3" borderId="1" xfId="0" applyFill="1" applyBorder="1"/>
    <xf numFmtId="2" fontId="0" fillId="0" borderId="0" xfId="0" applyNumberFormat="1"/>
    <xf numFmtId="164" fontId="0" fillId="0" borderId="0" xfId="0" applyNumberFormat="1"/>
    <xf numFmtId="0" fontId="0" fillId="3" borderId="1" xfId="0" applyFill="1" applyBorder="1" applyAlignment="1">
      <alignment horizontal="center"/>
    </xf>
    <xf numFmtId="0" fontId="0" fillId="2" borderId="4" xfId="0" applyFill="1" applyBorder="1"/>
    <xf numFmtId="0" fontId="0" fillId="5" borderId="0" xfId="0" applyFill="1"/>
    <xf numFmtId="0" fontId="0" fillId="10" borderId="0" xfId="0" applyFill="1"/>
    <xf numFmtId="0" fontId="0" fillId="12" borderId="0" xfId="0" applyFill="1"/>
    <xf numFmtId="0" fontId="0" fillId="2" borderId="0" xfId="0" applyFill="1"/>
    <xf numFmtId="0" fontId="1" fillId="0" borderId="0" xfId="0" applyFont="1"/>
    <xf numFmtId="2" fontId="1" fillId="0" borderId="0" xfId="0" applyNumberFormat="1" applyFont="1"/>
    <xf numFmtId="0" fontId="2" fillId="0" borderId="3" xfId="0" applyFont="1" applyBorder="1"/>
    <xf numFmtId="0" fontId="0" fillId="0" borderId="3" xfId="0" applyBorder="1"/>
    <xf numFmtId="0" fontId="0" fillId="16" borderId="0" xfId="0" applyFill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2" borderId="0" xfId="0" applyFill="1" applyAlignment="1">
      <alignment horizontal="center" vertical="center" wrapText="1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15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7" borderId="0" xfId="0" applyFill="1" applyAlignment="1">
      <alignment horizontal="center" vertical="center" wrapText="1"/>
    </xf>
    <xf numFmtId="0" fontId="0" fillId="19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3300"/>
      <color rgb="FF009999"/>
      <color rgb="FFCCCC00"/>
      <color rgb="FFFF3399"/>
      <color rgb="FF0066CC"/>
      <color rgb="FFFF66CC"/>
      <color rgb="FF99FF66"/>
      <color rgb="FFFF0066"/>
      <color rgb="FF921E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5"/>
  <sheetViews>
    <sheetView tabSelected="1" workbookViewId="0">
      <pane xSplit="3" ySplit="2" topLeftCell="D69" activePane="bottomRight" state="frozen"/>
      <selection pane="topRight" activeCell="C1" sqref="C1"/>
      <selection pane="bottomLeft" activeCell="A3" sqref="A3"/>
      <selection pane="bottomRight" activeCell="J80" sqref="J80"/>
    </sheetView>
  </sheetViews>
  <sheetFormatPr defaultRowHeight="14.25" x14ac:dyDescent="0.45"/>
  <cols>
    <col min="2" max="2" width="18.53125" customWidth="1"/>
    <col min="3" max="3" width="10.46484375" customWidth="1"/>
    <col min="4" max="6" width="11.53125" customWidth="1"/>
    <col min="7" max="9" width="10.265625" customWidth="1"/>
    <col min="10" max="10" width="14.46484375" customWidth="1"/>
    <col min="13" max="13" width="11.19921875" customWidth="1"/>
    <col min="14" max="14" width="12.46484375" customWidth="1"/>
    <col min="15" max="15" width="7.796875" customWidth="1"/>
    <col min="16" max="17" width="12.73046875" customWidth="1"/>
    <col min="18" max="18" width="18.46484375" bestFit="1" customWidth="1"/>
  </cols>
  <sheetData>
    <row r="1" spans="1:18" ht="14.65" thickBot="1" x14ac:dyDescent="0.5">
      <c r="B1" s="23" t="s">
        <v>0</v>
      </c>
      <c r="C1" s="23" t="s">
        <v>30</v>
      </c>
      <c r="D1" s="20" t="s">
        <v>7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18" t="s">
        <v>16</v>
      </c>
      <c r="Q1" s="19"/>
      <c r="R1" s="19"/>
    </row>
    <row r="2" spans="1:18" ht="14.65" thickBot="1" x14ac:dyDescent="0.5">
      <c r="B2" s="24"/>
      <c r="C2" s="23"/>
      <c r="D2" s="4" t="s">
        <v>10</v>
      </c>
      <c r="E2" s="4" t="s">
        <v>12</v>
      </c>
      <c r="F2" s="1" t="s">
        <v>6</v>
      </c>
      <c r="G2" s="1" t="s">
        <v>1</v>
      </c>
      <c r="H2" s="1" t="s">
        <v>3</v>
      </c>
      <c r="I2" s="4" t="s">
        <v>11</v>
      </c>
      <c r="J2" s="1" t="s">
        <v>2</v>
      </c>
      <c r="K2" s="1" t="s">
        <v>4</v>
      </c>
      <c r="L2" s="1" t="s">
        <v>5</v>
      </c>
      <c r="M2" s="1" t="s">
        <v>26</v>
      </c>
      <c r="N2" s="1" t="s">
        <v>27</v>
      </c>
      <c r="O2" s="1" t="s">
        <v>25</v>
      </c>
      <c r="P2" s="5" t="s">
        <v>13</v>
      </c>
      <c r="Q2" s="5" t="s">
        <v>15</v>
      </c>
      <c r="R2" s="5" t="s">
        <v>8</v>
      </c>
    </row>
    <row r="3" spans="1:18" x14ac:dyDescent="0.45">
      <c r="A3" s="51">
        <v>1</v>
      </c>
      <c r="B3" s="26" t="s">
        <v>9</v>
      </c>
      <c r="C3">
        <v>2017</v>
      </c>
      <c r="P3" s="2">
        <v>309.5</v>
      </c>
    </row>
    <row r="4" spans="1:18" x14ac:dyDescent="0.45">
      <c r="A4" s="51"/>
      <c r="B4" s="26"/>
      <c r="C4">
        <v>2018</v>
      </c>
      <c r="D4" s="2">
        <v>13</v>
      </c>
      <c r="E4">
        <v>5.73</v>
      </c>
      <c r="F4" s="3">
        <v>47.52</v>
      </c>
      <c r="G4">
        <v>1.81</v>
      </c>
      <c r="H4" s="3">
        <v>-0.18</v>
      </c>
      <c r="I4" s="2">
        <v>44.48</v>
      </c>
      <c r="J4" s="3">
        <v>-2.96</v>
      </c>
      <c r="K4" s="3">
        <v>-3.37</v>
      </c>
      <c r="L4" s="3">
        <v>2.16</v>
      </c>
      <c r="M4" s="2">
        <v>2353773.0299999998</v>
      </c>
      <c r="N4" s="2">
        <v>3312461.91</v>
      </c>
      <c r="O4" s="2">
        <f t="shared" ref="O4:O7" si="0">M4/N4</f>
        <v>0.71058116106759994</v>
      </c>
      <c r="P4" s="2">
        <v>295.89999999999998</v>
      </c>
      <c r="Q4" s="3">
        <f>(P4-P3)/P3</f>
        <v>-4.3941841680129316E-2</v>
      </c>
      <c r="R4" s="3">
        <v>1.1499999999999999</v>
      </c>
    </row>
    <row r="5" spans="1:18" x14ac:dyDescent="0.45">
      <c r="A5" s="51"/>
      <c r="B5" s="26"/>
      <c r="C5">
        <v>2019</v>
      </c>
      <c r="D5" s="2">
        <v>13</v>
      </c>
      <c r="E5">
        <v>3.01</v>
      </c>
      <c r="F5">
        <v>44.68</v>
      </c>
      <c r="G5" s="2">
        <v>0</v>
      </c>
      <c r="H5">
        <v>0.02</v>
      </c>
      <c r="I5" s="2">
        <v>44.7</v>
      </c>
      <c r="J5">
        <v>0.35</v>
      </c>
      <c r="K5">
        <v>0.39</v>
      </c>
      <c r="L5" s="2">
        <v>2.4</v>
      </c>
      <c r="M5" s="2">
        <v>2674694.73</v>
      </c>
      <c r="N5" s="2">
        <v>3559970.89</v>
      </c>
      <c r="O5" s="2">
        <f t="shared" si="0"/>
        <v>0.75132488794030561</v>
      </c>
      <c r="P5">
        <v>333.75</v>
      </c>
      <c r="Q5" s="2">
        <f>(P5-P4)/P4</f>
        <v>0.12791483609327484</v>
      </c>
      <c r="R5" s="2">
        <v>1.3</v>
      </c>
    </row>
    <row r="6" spans="1:18" x14ac:dyDescent="0.45">
      <c r="A6" s="51"/>
      <c r="B6" s="26"/>
      <c r="C6">
        <v>2020</v>
      </c>
      <c r="D6">
        <v>13.13</v>
      </c>
      <c r="E6">
        <v>2.23</v>
      </c>
      <c r="F6">
        <v>42.57</v>
      </c>
      <c r="G6">
        <v>1.79</v>
      </c>
      <c r="H6">
        <v>0.36</v>
      </c>
      <c r="I6" s="2">
        <v>44.22</v>
      </c>
      <c r="J6">
        <v>5.63</v>
      </c>
      <c r="K6">
        <v>6.95</v>
      </c>
      <c r="L6">
        <v>2.48</v>
      </c>
      <c r="M6" s="2">
        <v>2866000.12</v>
      </c>
      <c r="N6" s="2">
        <v>3812046.48</v>
      </c>
      <c r="O6" s="2">
        <f t="shared" si="0"/>
        <v>0.75182717079567196</v>
      </c>
      <c r="P6">
        <v>274.95</v>
      </c>
      <c r="Q6" s="3">
        <f t="shared" ref="Q6:Q8" si="1">(P6-P5)/P5</f>
        <v>-0.1761797752808989</v>
      </c>
      <c r="R6">
        <v>0.84</v>
      </c>
    </row>
    <row r="7" spans="1:18" x14ac:dyDescent="0.45">
      <c r="A7" s="51"/>
      <c r="B7" s="26"/>
      <c r="C7">
        <v>2021</v>
      </c>
      <c r="D7">
        <v>13.74</v>
      </c>
      <c r="E7" s="2">
        <v>1.5</v>
      </c>
      <c r="F7">
        <v>43.34</v>
      </c>
      <c r="G7">
        <v>1.64</v>
      </c>
      <c r="H7">
        <v>0.45</v>
      </c>
      <c r="I7" s="2">
        <v>45.39</v>
      </c>
      <c r="J7">
        <v>7.69</v>
      </c>
      <c r="K7">
        <v>8.86</v>
      </c>
      <c r="L7">
        <v>2.44</v>
      </c>
      <c r="M7" s="2">
        <v>3144305.18</v>
      </c>
      <c r="N7" s="2">
        <v>4376027.32</v>
      </c>
      <c r="O7" s="2">
        <f t="shared" si="0"/>
        <v>0.71852960460950688</v>
      </c>
      <c r="P7">
        <v>460.45</v>
      </c>
      <c r="Q7" s="2">
        <f t="shared" si="1"/>
        <v>0.67466812147663213</v>
      </c>
      <c r="R7">
        <v>1.41</v>
      </c>
    </row>
    <row r="8" spans="1:18" x14ac:dyDescent="0.45">
      <c r="A8" s="51"/>
      <c r="B8" s="26"/>
      <c r="C8">
        <v>2022</v>
      </c>
      <c r="D8">
        <v>13.85</v>
      </c>
      <c r="E8" s="2">
        <v>1.02</v>
      </c>
      <c r="F8" s="2">
        <v>41</v>
      </c>
      <c r="G8">
        <v>1.42</v>
      </c>
      <c r="H8">
        <v>0.63</v>
      </c>
      <c r="I8" s="2">
        <v>44.51</v>
      </c>
      <c r="J8">
        <v>11.49</v>
      </c>
      <c r="K8">
        <v>12.33</v>
      </c>
      <c r="L8">
        <v>2.42</v>
      </c>
      <c r="M8" s="2">
        <v>3468443.78</v>
      </c>
      <c r="N8" s="2">
        <v>4781043.43</v>
      </c>
      <c r="O8" s="2">
        <f>M8/N8</f>
        <v>0.72545749286364458</v>
      </c>
      <c r="P8" s="2">
        <v>607.4</v>
      </c>
      <c r="Q8" s="2">
        <f t="shared" si="1"/>
        <v>0.31914431534368548</v>
      </c>
      <c r="R8">
        <v>1.72</v>
      </c>
    </row>
    <row r="9" spans="1:18" x14ac:dyDescent="0.4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x14ac:dyDescent="0.45">
      <c r="A10" s="51">
        <v>2</v>
      </c>
      <c r="B10" s="25" t="s">
        <v>14</v>
      </c>
      <c r="C10">
        <v>2017</v>
      </c>
      <c r="P10">
        <v>171.5</v>
      </c>
    </row>
    <row r="11" spans="1:18" x14ac:dyDescent="0.45">
      <c r="A11" s="51"/>
      <c r="B11" s="25"/>
      <c r="C11">
        <v>2018</v>
      </c>
      <c r="D11" s="2">
        <v>9.1999999999999993</v>
      </c>
      <c r="E11">
        <v>11.24</v>
      </c>
      <c r="F11" s="3">
        <v>63.44</v>
      </c>
      <c r="G11">
        <v>1.38</v>
      </c>
      <c r="H11" s="3">
        <v>-1.6</v>
      </c>
      <c r="I11" s="2">
        <v>40.98</v>
      </c>
      <c r="J11" s="3">
        <v>-25.59</v>
      </c>
      <c r="K11" s="3">
        <v>-32.85</v>
      </c>
      <c r="L11" s="3">
        <v>1.94</v>
      </c>
      <c r="M11" s="2">
        <v>559174.80000000005</v>
      </c>
      <c r="N11">
        <v>747835.07</v>
      </c>
      <c r="O11" s="2">
        <f>M11/N11</f>
        <v>0.74772476235970065</v>
      </c>
      <c r="P11" s="2">
        <v>78.099999999999994</v>
      </c>
      <c r="Q11" s="3">
        <f>(P11-P10)/P10</f>
        <v>-0.54460641399416909</v>
      </c>
      <c r="R11" s="2">
        <v>0.7</v>
      </c>
    </row>
    <row r="12" spans="1:18" x14ac:dyDescent="0.45">
      <c r="A12" s="51"/>
      <c r="B12" s="25"/>
      <c r="C12">
        <v>2019</v>
      </c>
      <c r="D12">
        <v>9.73</v>
      </c>
      <c r="E12">
        <v>6.56</v>
      </c>
      <c r="F12" s="3">
        <v>58.8</v>
      </c>
      <c r="G12" s="2">
        <v>1.7</v>
      </c>
      <c r="H12" s="3">
        <v>-1.28</v>
      </c>
      <c r="I12" s="2">
        <v>42.16</v>
      </c>
      <c r="J12" s="3">
        <v>-19.440000000000001</v>
      </c>
      <c r="K12" s="3">
        <v>-24.2</v>
      </c>
      <c r="L12" s="3">
        <v>2.21</v>
      </c>
      <c r="M12">
        <v>566596.39</v>
      </c>
      <c r="N12">
        <v>763725.41</v>
      </c>
      <c r="O12" s="2">
        <f t="shared" ref="O12:O15" si="2">M12/N12</f>
        <v>0.74188495312732883</v>
      </c>
      <c r="P12">
        <v>64.349999999999994</v>
      </c>
      <c r="Q12" s="3">
        <f t="shared" ref="Q12:Q15" si="3">(P12-P11)/P11</f>
        <v>-0.17605633802816903</v>
      </c>
      <c r="R12">
        <v>1.07</v>
      </c>
    </row>
    <row r="13" spans="1:18" x14ac:dyDescent="0.45">
      <c r="A13" s="51"/>
      <c r="B13" s="25"/>
      <c r="C13">
        <v>2020</v>
      </c>
      <c r="D13">
        <v>14.14</v>
      </c>
      <c r="E13">
        <v>5.78</v>
      </c>
      <c r="F13">
        <v>41.81</v>
      </c>
      <c r="G13" s="2">
        <v>1.8</v>
      </c>
      <c r="H13">
        <v>0.04</v>
      </c>
      <c r="I13" s="2">
        <v>42.97</v>
      </c>
      <c r="J13">
        <v>0.62</v>
      </c>
      <c r="K13">
        <v>0.57999999999999996</v>
      </c>
      <c r="L13">
        <v>2.09</v>
      </c>
      <c r="M13" s="2">
        <v>582961.19999999995</v>
      </c>
      <c r="N13">
        <v>821187.93</v>
      </c>
      <c r="O13" s="2">
        <f t="shared" si="2"/>
        <v>0.70989986421256812</v>
      </c>
      <c r="P13">
        <v>33.049999999999997</v>
      </c>
      <c r="Q13" s="3">
        <f t="shared" si="3"/>
        <v>-0.4864024864024864</v>
      </c>
      <c r="R13">
        <v>0.38</v>
      </c>
    </row>
    <row r="14" spans="1:18" x14ac:dyDescent="0.45">
      <c r="A14" s="51"/>
      <c r="B14" s="25"/>
      <c r="C14">
        <v>2021</v>
      </c>
      <c r="D14">
        <v>14.32</v>
      </c>
      <c r="E14">
        <v>5.73</v>
      </c>
      <c r="F14" s="2">
        <v>44.1</v>
      </c>
      <c r="G14">
        <v>1.85</v>
      </c>
      <c r="H14">
        <v>0.16</v>
      </c>
      <c r="I14" s="2">
        <v>44.54</v>
      </c>
      <c r="J14" s="2">
        <v>2.5</v>
      </c>
      <c r="K14">
        <v>2.41</v>
      </c>
      <c r="L14">
        <v>2.41</v>
      </c>
      <c r="M14">
        <v>856628.46</v>
      </c>
      <c r="N14" s="2">
        <v>1247310.5</v>
      </c>
      <c r="O14" s="2">
        <f t="shared" si="2"/>
        <v>0.68678044480504252</v>
      </c>
      <c r="P14" s="2">
        <v>37.299999999999997</v>
      </c>
      <c r="Q14" s="2">
        <f t="shared" si="3"/>
        <v>0.12859304084720122</v>
      </c>
      <c r="R14">
        <v>0.46</v>
      </c>
    </row>
    <row r="15" spans="1:18" x14ac:dyDescent="0.45">
      <c r="A15" s="51"/>
      <c r="B15" s="25"/>
      <c r="C15">
        <v>2022</v>
      </c>
      <c r="D15" s="2">
        <v>14.5</v>
      </c>
      <c r="E15">
        <v>4.8</v>
      </c>
      <c r="F15">
        <v>43.07</v>
      </c>
      <c r="G15">
        <v>1.61</v>
      </c>
      <c r="H15">
        <v>0.26</v>
      </c>
      <c r="I15" s="2">
        <v>46.55</v>
      </c>
      <c r="J15">
        <v>4.6100000000000003</v>
      </c>
      <c r="K15" s="2">
        <v>3.9</v>
      </c>
      <c r="L15">
        <v>2.1800000000000002</v>
      </c>
      <c r="M15">
        <v>931963.65</v>
      </c>
      <c r="N15">
        <v>1294435.3799999999</v>
      </c>
      <c r="O15" s="2">
        <f t="shared" si="2"/>
        <v>0.71997696014767465</v>
      </c>
      <c r="P15">
        <v>53.55</v>
      </c>
      <c r="Q15" s="2">
        <f t="shared" si="3"/>
        <v>0.43565683646112602</v>
      </c>
      <c r="R15">
        <v>0.44</v>
      </c>
    </row>
    <row r="16" spans="1:18" x14ac:dyDescent="0.4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45">
      <c r="A17" s="51">
        <v>3</v>
      </c>
      <c r="B17" s="27" t="s">
        <v>17</v>
      </c>
      <c r="C17">
        <v>2017</v>
      </c>
      <c r="P17" s="2">
        <v>360.9</v>
      </c>
    </row>
    <row r="18" spans="1:18" x14ac:dyDescent="0.45">
      <c r="A18" s="51"/>
      <c r="B18" s="27"/>
      <c r="C18">
        <v>2018</v>
      </c>
      <c r="D18">
        <v>13.22</v>
      </c>
      <c r="E18">
        <v>7.48</v>
      </c>
      <c r="F18" s="3">
        <v>48.4</v>
      </c>
      <c r="G18">
        <v>1.59</v>
      </c>
      <c r="H18" s="3">
        <v>-0.68</v>
      </c>
      <c r="I18" s="2">
        <v>31.82</v>
      </c>
      <c r="J18" s="3">
        <v>-10.23</v>
      </c>
      <c r="K18" s="3">
        <v>-14.51</v>
      </c>
      <c r="L18" s="3">
        <v>1.97</v>
      </c>
      <c r="M18">
        <v>464513.79</v>
      </c>
      <c r="N18">
        <v>605709.93999999994</v>
      </c>
      <c r="O18" s="2">
        <f t="shared" ref="O18:O22" si="4">M18/N18</f>
        <v>0.7668914761412039</v>
      </c>
      <c r="P18" s="2">
        <v>275</v>
      </c>
      <c r="Q18" s="3">
        <f>(P18-P17)/P17</f>
        <v>-0.23801607093377661</v>
      </c>
      <c r="R18" s="2">
        <v>0.67</v>
      </c>
    </row>
    <row r="19" spans="1:18" x14ac:dyDescent="0.45">
      <c r="A19" s="51"/>
      <c r="B19" s="27"/>
      <c r="C19">
        <v>2019</v>
      </c>
      <c r="D19" s="2">
        <v>11.9</v>
      </c>
      <c r="E19">
        <v>5.37</v>
      </c>
      <c r="F19">
        <v>38.78</v>
      </c>
      <c r="G19">
        <v>1.56</v>
      </c>
      <c r="H19">
        <v>0.04</v>
      </c>
      <c r="I19" s="2">
        <v>29.18</v>
      </c>
      <c r="J19">
        <v>0.74</v>
      </c>
      <c r="K19">
        <v>1.1599999999999999</v>
      </c>
      <c r="L19">
        <v>2.08</v>
      </c>
      <c r="M19">
        <v>533371.16</v>
      </c>
      <c r="N19">
        <v>682650.97</v>
      </c>
      <c r="O19" s="2">
        <f t="shared" si="4"/>
        <v>0.78132337525280315</v>
      </c>
      <c r="P19" s="2">
        <v>221.3</v>
      </c>
      <c r="Q19" s="3">
        <f t="shared" ref="Q19:Q22" si="5">(P19-P18)/P18</f>
        <v>-0.19527272727272724</v>
      </c>
      <c r="R19">
        <v>0.74</v>
      </c>
    </row>
    <row r="20" spans="1:18" x14ac:dyDescent="0.45">
      <c r="A20" s="51"/>
      <c r="B20" s="27"/>
      <c r="C20">
        <v>2020</v>
      </c>
      <c r="D20">
        <v>13.65</v>
      </c>
      <c r="E20">
        <v>4.22</v>
      </c>
      <c r="F20" s="3">
        <v>40.83</v>
      </c>
      <c r="G20">
        <v>1.32</v>
      </c>
      <c r="H20" s="3">
        <v>-0.3</v>
      </c>
      <c r="I20" s="2">
        <v>31.37</v>
      </c>
      <c r="J20" s="3">
        <v>-4.5599999999999996</v>
      </c>
      <c r="K20" s="3">
        <v>-6.78</v>
      </c>
      <c r="L20" s="3">
        <v>1.81</v>
      </c>
      <c r="M20">
        <v>539353.51</v>
      </c>
      <c r="N20" s="2">
        <v>713738.7</v>
      </c>
      <c r="O20" s="2">
        <f t="shared" si="4"/>
        <v>0.75567362397471238</v>
      </c>
      <c r="P20">
        <v>128.94999999999999</v>
      </c>
      <c r="Q20" s="3">
        <f t="shared" si="5"/>
        <v>-0.41730682331676466</v>
      </c>
      <c r="R20">
        <v>0.28000000000000003</v>
      </c>
    </row>
    <row r="21" spans="1:18" x14ac:dyDescent="0.45">
      <c r="A21" s="51"/>
      <c r="B21" s="27"/>
      <c r="C21">
        <v>2021</v>
      </c>
      <c r="D21">
        <v>13.18</v>
      </c>
      <c r="E21">
        <v>3.82</v>
      </c>
      <c r="F21">
        <v>43.52</v>
      </c>
      <c r="G21">
        <v>1.78</v>
      </c>
      <c r="H21">
        <v>0.22</v>
      </c>
      <c r="I21" s="2">
        <v>32.729999999999997</v>
      </c>
      <c r="J21">
        <v>3.69</v>
      </c>
      <c r="K21">
        <v>5.05</v>
      </c>
      <c r="L21">
        <v>2.08</v>
      </c>
      <c r="M21">
        <v>880778.11</v>
      </c>
      <c r="N21">
        <v>1128027.31</v>
      </c>
      <c r="O21" s="2">
        <f t="shared" si="4"/>
        <v>0.78081275354937985</v>
      </c>
      <c r="P21" s="2">
        <v>199.9</v>
      </c>
      <c r="Q21" s="3">
        <f t="shared" si="5"/>
        <v>0.55021326095385825</v>
      </c>
      <c r="R21" s="2">
        <v>0.5</v>
      </c>
    </row>
    <row r="22" spans="1:18" x14ac:dyDescent="0.45">
      <c r="A22" s="51"/>
      <c r="B22" s="27"/>
      <c r="C22">
        <v>2022</v>
      </c>
      <c r="D22" s="2">
        <v>14.9</v>
      </c>
      <c r="E22">
        <v>2.65</v>
      </c>
      <c r="F22" s="3">
        <v>43.3</v>
      </c>
      <c r="G22">
        <v>1.92</v>
      </c>
      <c r="H22">
        <v>0.46</v>
      </c>
      <c r="I22" s="2">
        <v>33.94</v>
      </c>
      <c r="J22">
        <v>8.18</v>
      </c>
      <c r="K22" s="3">
        <v>9.85</v>
      </c>
      <c r="L22" s="3">
        <v>2.15</v>
      </c>
      <c r="M22">
        <v>933610.47</v>
      </c>
      <c r="N22">
        <v>1207311.76</v>
      </c>
      <c r="O22" s="2">
        <f t="shared" si="4"/>
        <v>0.77329692373741143</v>
      </c>
      <c r="P22">
        <v>326.85000000000002</v>
      </c>
      <c r="Q22" s="3">
        <f t="shared" si="5"/>
        <v>0.63506753376688352</v>
      </c>
      <c r="R22" s="2">
        <v>0.72</v>
      </c>
    </row>
    <row r="23" spans="1:18" x14ac:dyDescent="0.4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45">
      <c r="A24" s="51">
        <v>4</v>
      </c>
      <c r="B24" s="28" t="s">
        <v>18</v>
      </c>
      <c r="C24">
        <v>2017</v>
      </c>
      <c r="P24" s="2">
        <v>160.5</v>
      </c>
    </row>
    <row r="25" spans="1:18" x14ac:dyDescent="0.45">
      <c r="A25" s="51"/>
      <c r="B25" s="28"/>
      <c r="C25">
        <v>2018</v>
      </c>
      <c r="D25">
        <v>12.13</v>
      </c>
      <c r="E25">
        <v>5.49</v>
      </c>
      <c r="F25">
        <v>48.92</v>
      </c>
      <c r="G25">
        <v>1.72</v>
      </c>
      <c r="H25">
        <v>-0.33</v>
      </c>
      <c r="I25" s="2">
        <v>35.81</v>
      </c>
      <c r="J25" s="3">
        <v>-5.57</v>
      </c>
      <c r="K25" s="2">
        <v>-5.6</v>
      </c>
      <c r="L25">
        <v>2.15</v>
      </c>
      <c r="M25">
        <v>551447.85</v>
      </c>
      <c r="N25">
        <v>697281.57</v>
      </c>
      <c r="O25" s="2">
        <f t="shared" ref="O25:O29" si="6">M25/N25</f>
        <v>0.7908539013873549</v>
      </c>
      <c r="P25">
        <v>118.85</v>
      </c>
      <c r="Q25" s="3">
        <f>(P25-P24)/P24</f>
        <v>-0.25950155763239879</v>
      </c>
      <c r="R25">
        <v>0.87</v>
      </c>
    </row>
    <row r="26" spans="1:18" x14ac:dyDescent="0.45">
      <c r="A26" s="51"/>
      <c r="B26" s="28"/>
      <c r="C26">
        <v>2019</v>
      </c>
      <c r="D26">
        <v>13.42</v>
      </c>
      <c r="E26">
        <v>3.33</v>
      </c>
      <c r="F26">
        <v>43.41</v>
      </c>
      <c r="G26">
        <v>1.78</v>
      </c>
      <c r="H26">
        <v>0.05</v>
      </c>
      <c r="I26" s="2">
        <v>35.03</v>
      </c>
      <c r="J26">
        <v>0.87</v>
      </c>
      <c r="K26">
        <v>0.94</v>
      </c>
      <c r="L26">
        <v>2.36</v>
      </c>
      <c r="M26">
        <v>591699.03</v>
      </c>
      <c r="N26">
        <v>756874.11</v>
      </c>
      <c r="O26" s="2">
        <f t="shared" si="6"/>
        <v>0.78176677228396685</v>
      </c>
      <c r="P26" s="2">
        <v>101.9</v>
      </c>
      <c r="Q26" s="3">
        <f t="shared" ref="Q26:Q29" si="7">(P26-P25)/P25</f>
        <v>-0.1426167437946991</v>
      </c>
      <c r="R26">
        <v>0.74</v>
      </c>
    </row>
    <row r="27" spans="1:18" x14ac:dyDescent="0.45">
      <c r="A27" s="51"/>
      <c r="B27" s="28"/>
      <c r="C27">
        <v>2020</v>
      </c>
      <c r="D27" s="2">
        <v>13.3</v>
      </c>
      <c r="E27">
        <v>3.13</v>
      </c>
      <c r="F27">
        <v>43.13</v>
      </c>
      <c r="G27">
        <v>1.77</v>
      </c>
      <c r="H27">
        <v>0.04</v>
      </c>
      <c r="I27" s="2">
        <v>35.28</v>
      </c>
      <c r="J27">
        <v>0.71</v>
      </c>
      <c r="K27">
        <v>0.76</v>
      </c>
      <c r="L27">
        <v>2.37</v>
      </c>
      <c r="M27">
        <v>874411.61</v>
      </c>
      <c r="N27">
        <v>1110909.95</v>
      </c>
      <c r="O27" s="2">
        <f t="shared" si="6"/>
        <v>0.78711295186437036</v>
      </c>
      <c r="P27" s="2">
        <v>61.5</v>
      </c>
      <c r="Q27" s="3">
        <f t="shared" si="7"/>
        <v>-0.39646712463199218</v>
      </c>
      <c r="R27">
        <v>0.34</v>
      </c>
    </row>
    <row r="28" spans="1:18" x14ac:dyDescent="0.45">
      <c r="A28" s="51"/>
      <c r="B28" s="28"/>
      <c r="C28">
        <v>2021</v>
      </c>
      <c r="D28">
        <v>14.99</v>
      </c>
      <c r="E28">
        <v>3.09</v>
      </c>
      <c r="F28">
        <v>48.69</v>
      </c>
      <c r="G28">
        <v>1.85</v>
      </c>
      <c r="H28">
        <v>7.0000000000000007E-2</v>
      </c>
      <c r="I28" s="2">
        <v>40.15</v>
      </c>
      <c r="J28">
        <v>1.17</v>
      </c>
      <c r="K28">
        <v>1.07</v>
      </c>
      <c r="L28">
        <v>2.4900000000000002</v>
      </c>
      <c r="M28">
        <v>886128.26</v>
      </c>
      <c r="N28">
        <v>1110890.58</v>
      </c>
      <c r="O28" s="2">
        <f t="shared" si="6"/>
        <v>0.79767375469148361</v>
      </c>
      <c r="P28">
        <v>81.95</v>
      </c>
      <c r="Q28" s="3">
        <f t="shared" si="7"/>
        <v>0.33252032520325209</v>
      </c>
      <c r="R28" s="2">
        <v>0.5</v>
      </c>
    </row>
    <row r="29" spans="1:18" x14ac:dyDescent="0.45">
      <c r="A29" s="51"/>
      <c r="B29" s="28"/>
      <c r="C29">
        <v>2022</v>
      </c>
      <c r="D29">
        <v>15.84</v>
      </c>
      <c r="E29">
        <v>1.72</v>
      </c>
      <c r="F29">
        <v>45.26</v>
      </c>
      <c r="G29">
        <v>1.81</v>
      </c>
      <c r="H29">
        <v>0.56000000000000005</v>
      </c>
      <c r="I29" s="2">
        <v>41.45</v>
      </c>
      <c r="J29">
        <v>10.4</v>
      </c>
      <c r="K29">
        <v>8.4600000000000009</v>
      </c>
      <c r="L29">
        <v>2.5499999999999998</v>
      </c>
      <c r="M29">
        <v>952282.55</v>
      </c>
      <c r="N29">
        <v>1235747.57</v>
      </c>
      <c r="O29" s="2">
        <f t="shared" si="6"/>
        <v>0.77061252080795106</v>
      </c>
      <c r="P29">
        <v>167.8</v>
      </c>
      <c r="Q29" s="3">
        <f t="shared" si="7"/>
        <v>1.0475899938987188</v>
      </c>
      <c r="R29">
        <v>0.67</v>
      </c>
    </row>
    <row r="30" spans="1:18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x14ac:dyDescent="0.45">
      <c r="A31" s="51">
        <v>5</v>
      </c>
      <c r="B31" s="29" t="s">
        <v>19</v>
      </c>
      <c r="C31">
        <v>2017</v>
      </c>
      <c r="P31">
        <v>169.7</v>
      </c>
    </row>
    <row r="32" spans="1:18" x14ac:dyDescent="0.45">
      <c r="A32" s="51"/>
      <c r="B32" s="29"/>
      <c r="C32">
        <v>2018</v>
      </c>
      <c r="D32">
        <v>12</v>
      </c>
      <c r="E32">
        <v>8.2799999999999994</v>
      </c>
      <c r="F32" s="3">
        <v>50.87</v>
      </c>
      <c r="G32">
        <v>1.18</v>
      </c>
      <c r="H32" s="3">
        <v>-0.99</v>
      </c>
      <c r="I32" s="2">
        <v>34.1</v>
      </c>
      <c r="J32" s="3">
        <v>-15.87</v>
      </c>
      <c r="K32" s="3">
        <v>-20.149999999999999</v>
      </c>
      <c r="L32" s="3">
        <v>1.72</v>
      </c>
      <c r="M32">
        <v>464198.43</v>
      </c>
      <c r="N32">
        <v>605532.96</v>
      </c>
      <c r="O32" s="2">
        <f t="shared" ref="O32:O36" si="8">M32/N32</f>
        <v>0.76659481921512584</v>
      </c>
      <c r="P32" s="3">
        <v>104.05</v>
      </c>
      <c r="Q32" s="3">
        <f>(P32-P31)/P31</f>
        <v>-0.38685916322922803</v>
      </c>
      <c r="R32" s="3">
        <v>0.6</v>
      </c>
    </row>
    <row r="33" spans="1:18" x14ac:dyDescent="0.45">
      <c r="A33" s="51"/>
      <c r="B33" s="29"/>
      <c r="C33">
        <v>2019</v>
      </c>
      <c r="D33">
        <v>14</v>
      </c>
      <c r="E33">
        <v>5.61</v>
      </c>
      <c r="F33" s="3">
        <v>53.02</v>
      </c>
      <c r="G33">
        <v>1.32</v>
      </c>
      <c r="H33" s="3">
        <v>-0.88</v>
      </c>
      <c r="I33" s="2">
        <v>35.9</v>
      </c>
      <c r="J33" s="3">
        <v>-13.6</v>
      </c>
      <c r="K33" s="3">
        <v>-15.66</v>
      </c>
      <c r="L33" s="3">
        <v>2.1800000000000002</v>
      </c>
      <c r="M33">
        <v>468663.77</v>
      </c>
      <c r="N33">
        <v>617696.01</v>
      </c>
      <c r="O33" s="2">
        <f t="shared" si="8"/>
        <v>0.75872882844103207</v>
      </c>
      <c r="P33" s="3">
        <v>70.45</v>
      </c>
      <c r="Q33" s="3">
        <f t="shared" ref="Q33:Q36" si="9">(P33-P32)/P32</f>
        <v>-0.32292167227294566</v>
      </c>
      <c r="R33" s="3">
        <v>0.81</v>
      </c>
    </row>
    <row r="34" spans="1:18" x14ac:dyDescent="0.45">
      <c r="A34" s="51"/>
      <c r="B34" s="29"/>
      <c r="C34">
        <v>2020</v>
      </c>
      <c r="D34">
        <v>13</v>
      </c>
      <c r="E34">
        <v>3.88</v>
      </c>
      <c r="F34" s="3">
        <v>50.8</v>
      </c>
      <c r="G34" s="2">
        <v>1.8</v>
      </c>
      <c r="H34" s="3">
        <v>-0.45</v>
      </c>
      <c r="I34" s="2">
        <v>36.51</v>
      </c>
      <c r="J34" s="3">
        <v>-6.98</v>
      </c>
      <c r="K34" s="3">
        <v>-7.88</v>
      </c>
      <c r="L34" s="3">
        <v>2.3199999999999998</v>
      </c>
      <c r="M34">
        <v>489440.49</v>
      </c>
      <c r="N34">
        <v>645396.12</v>
      </c>
      <c r="O34" s="2">
        <f t="shared" si="8"/>
        <v>0.75835672826790468</v>
      </c>
      <c r="P34" s="3">
        <v>48.65</v>
      </c>
      <c r="Q34" s="3">
        <f t="shared" si="9"/>
        <v>-0.30943931866572044</v>
      </c>
      <c r="R34" s="3">
        <v>0.28000000000000003</v>
      </c>
    </row>
    <row r="35" spans="1:18" x14ac:dyDescent="0.45">
      <c r="A35" s="51"/>
      <c r="B35" s="29"/>
      <c r="C35">
        <v>2021</v>
      </c>
      <c r="D35">
        <v>14</v>
      </c>
      <c r="E35">
        <v>3.35</v>
      </c>
      <c r="F35" s="3">
        <v>40.69</v>
      </c>
      <c r="G35">
        <v>1.53</v>
      </c>
      <c r="H35">
        <v>0.28999999999999998</v>
      </c>
      <c r="I35" s="2">
        <v>36.68</v>
      </c>
      <c r="J35">
        <v>5.32</v>
      </c>
      <c r="K35" s="3">
        <v>5.47</v>
      </c>
      <c r="L35" s="3">
        <v>1.96</v>
      </c>
      <c r="M35">
        <v>529689.47</v>
      </c>
      <c r="N35">
        <v>714515.05</v>
      </c>
      <c r="O35" s="2">
        <f t="shared" si="8"/>
        <v>0.74132724006303286</v>
      </c>
      <c r="P35" s="3">
        <v>51.35</v>
      </c>
      <c r="Q35" s="3">
        <f t="shared" si="9"/>
        <v>5.549845837615628E-2</v>
      </c>
      <c r="R35" s="3">
        <v>0.56000000000000005</v>
      </c>
    </row>
    <row r="36" spans="1:18" x14ac:dyDescent="0.45">
      <c r="A36" s="51"/>
      <c r="B36" s="29"/>
      <c r="C36">
        <v>2022</v>
      </c>
      <c r="D36">
        <v>17</v>
      </c>
      <c r="E36">
        <v>2.34</v>
      </c>
      <c r="F36" s="3">
        <v>40.33</v>
      </c>
      <c r="G36" s="2">
        <v>1.4</v>
      </c>
      <c r="H36">
        <v>0.46</v>
      </c>
      <c r="I36" s="2">
        <v>40.08</v>
      </c>
      <c r="J36">
        <v>8.94</v>
      </c>
      <c r="K36" s="3">
        <v>7.06</v>
      </c>
      <c r="L36" s="3">
        <v>1.91</v>
      </c>
      <c r="M36">
        <v>550390.65</v>
      </c>
      <c r="N36">
        <v>716714.18</v>
      </c>
      <c r="O36" s="2">
        <f t="shared" si="8"/>
        <v>0.76793604111474389</v>
      </c>
      <c r="P36" s="3">
        <v>81.75</v>
      </c>
      <c r="Q36" s="3">
        <f t="shared" si="9"/>
        <v>0.5920155793573515</v>
      </c>
      <c r="R36" s="3">
        <v>0.39</v>
      </c>
    </row>
    <row r="37" spans="1:18" x14ac:dyDescent="0.4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x14ac:dyDescent="0.45">
      <c r="A38" s="51">
        <v>6</v>
      </c>
      <c r="B38" s="30" t="s">
        <v>20</v>
      </c>
      <c r="C38">
        <v>2017</v>
      </c>
      <c r="P38" s="3">
        <v>376.65</v>
      </c>
    </row>
    <row r="39" spans="1:18" x14ac:dyDescent="0.45">
      <c r="A39" s="51"/>
      <c r="B39" s="30"/>
      <c r="C39">
        <v>2018</v>
      </c>
      <c r="D39">
        <v>12</v>
      </c>
      <c r="E39">
        <v>3.81</v>
      </c>
      <c r="F39" s="3">
        <v>37.96</v>
      </c>
      <c r="G39">
        <v>2.02</v>
      </c>
      <c r="H39">
        <v>0.49</v>
      </c>
      <c r="I39" s="2">
        <v>36.950000000000003</v>
      </c>
      <c r="J39">
        <v>7.35</v>
      </c>
      <c r="K39" s="3">
        <v>7.95</v>
      </c>
      <c r="L39" s="3">
        <v>2.4700000000000002</v>
      </c>
      <c r="M39">
        <v>177899.71</v>
      </c>
      <c r="N39">
        <v>246502.82</v>
      </c>
      <c r="O39" s="2">
        <f t="shared" ref="O39:O43" si="10">M39/N39</f>
        <v>0.72169442118349791</v>
      </c>
      <c r="P39" s="3">
        <v>243.8</v>
      </c>
      <c r="Q39" s="3">
        <f>(P39-P38)/P38</f>
        <v>-0.35271472189034908</v>
      </c>
      <c r="R39" s="3">
        <v>0.91</v>
      </c>
    </row>
    <row r="40" spans="1:18" x14ac:dyDescent="0.45">
      <c r="A40" s="51"/>
      <c r="B40" s="30"/>
      <c r="C40">
        <v>2019</v>
      </c>
      <c r="D40">
        <v>13</v>
      </c>
      <c r="E40">
        <v>3.75</v>
      </c>
      <c r="F40" s="3">
        <v>40.72</v>
      </c>
      <c r="G40">
        <v>1.78</v>
      </c>
      <c r="H40">
        <v>0.11</v>
      </c>
      <c r="I40" s="2">
        <v>34.700000000000003</v>
      </c>
      <c r="J40">
        <v>1.67</v>
      </c>
      <c r="K40" s="3">
        <v>1.97</v>
      </c>
      <c r="L40" s="3">
        <v>2.5</v>
      </c>
      <c r="M40">
        <v>211111.69</v>
      </c>
      <c r="N40">
        <v>273602.17</v>
      </c>
      <c r="O40" s="2">
        <f t="shared" si="10"/>
        <v>0.77160093430545529</v>
      </c>
      <c r="P40" s="3">
        <v>100.85</v>
      </c>
      <c r="Q40" s="3">
        <f t="shared" ref="Q40:Q43" si="11">(P40-P39)/P39</f>
        <v>-0.58634126333059888</v>
      </c>
      <c r="R40" s="3">
        <v>0.82</v>
      </c>
    </row>
    <row r="41" spans="1:18" x14ac:dyDescent="0.45">
      <c r="A41" s="51"/>
      <c r="B41" s="30"/>
      <c r="C41">
        <v>2020</v>
      </c>
      <c r="D41">
        <v>14</v>
      </c>
      <c r="E41">
        <v>3.13</v>
      </c>
      <c r="F41" s="3">
        <v>41.12</v>
      </c>
      <c r="G41">
        <v>2.14</v>
      </c>
      <c r="H41">
        <v>0.24</v>
      </c>
      <c r="I41" s="2">
        <v>34.64</v>
      </c>
      <c r="J41">
        <v>3.51</v>
      </c>
      <c r="K41" s="3">
        <v>3.94</v>
      </c>
      <c r="L41" s="3">
        <v>2.4500000000000002</v>
      </c>
      <c r="M41">
        <v>224330.74</v>
      </c>
      <c r="N41">
        <v>303145.46999999997</v>
      </c>
      <c r="O41" s="2">
        <f t="shared" si="10"/>
        <v>0.7400102003833342</v>
      </c>
      <c r="P41" s="3">
        <v>85.55</v>
      </c>
      <c r="Q41" s="3">
        <f t="shared" si="11"/>
        <v>-0.15171046108081307</v>
      </c>
      <c r="R41" s="3">
        <v>0.14000000000000001</v>
      </c>
    </row>
    <row r="42" spans="1:18" x14ac:dyDescent="0.45">
      <c r="A42" s="51"/>
      <c r="B42" s="30"/>
      <c r="C42">
        <v>2021</v>
      </c>
      <c r="D42">
        <v>15</v>
      </c>
      <c r="E42">
        <v>3.37</v>
      </c>
      <c r="F42" s="3">
        <v>41.47</v>
      </c>
      <c r="G42">
        <v>1.89</v>
      </c>
      <c r="H42">
        <v>0.47</v>
      </c>
      <c r="I42" s="2">
        <v>42.29</v>
      </c>
      <c r="J42">
        <v>7.68</v>
      </c>
      <c r="K42" s="3">
        <v>11.88</v>
      </c>
      <c r="L42" s="3">
        <v>2.5</v>
      </c>
      <c r="M42">
        <v>439513.38</v>
      </c>
      <c r="N42" s="2">
        <v>601217.4</v>
      </c>
      <c r="O42" s="2">
        <f t="shared" si="10"/>
        <v>0.73103902182471758</v>
      </c>
      <c r="P42" s="3">
        <v>139.5</v>
      </c>
      <c r="Q42" s="3">
        <f t="shared" si="11"/>
        <v>0.63062536528346003</v>
      </c>
      <c r="R42" s="3">
        <v>0.52</v>
      </c>
    </row>
    <row r="43" spans="1:18" x14ac:dyDescent="0.45">
      <c r="A43" s="51"/>
      <c r="B43" s="30"/>
      <c r="C43">
        <v>2022</v>
      </c>
      <c r="D43">
        <v>16</v>
      </c>
      <c r="E43">
        <v>2.27</v>
      </c>
      <c r="F43" s="3">
        <v>43.03</v>
      </c>
      <c r="G43">
        <v>1.94</v>
      </c>
      <c r="H43">
        <v>0.57999999999999996</v>
      </c>
      <c r="I43" s="2">
        <v>41.76</v>
      </c>
      <c r="J43">
        <v>10.15</v>
      </c>
      <c r="K43" s="3">
        <v>10.52</v>
      </c>
      <c r="L43" s="3">
        <v>2.4900000000000002</v>
      </c>
      <c r="M43">
        <v>489425.74</v>
      </c>
      <c r="N43">
        <v>654470.91</v>
      </c>
      <c r="O43" s="2">
        <f t="shared" si="10"/>
        <v>0.74781893667359478</v>
      </c>
      <c r="P43" s="3">
        <v>272.5</v>
      </c>
      <c r="Q43" s="3">
        <f t="shared" si="11"/>
        <v>0.95340501792114696</v>
      </c>
      <c r="R43" s="3">
        <v>0.51</v>
      </c>
    </row>
    <row r="44" spans="1:18" x14ac:dyDescent="0.4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x14ac:dyDescent="0.45">
      <c r="A45" s="51">
        <v>7</v>
      </c>
      <c r="B45" s="31" t="s">
        <v>21</v>
      </c>
      <c r="C45">
        <v>2017</v>
      </c>
      <c r="P45" s="3">
        <v>144.35</v>
      </c>
    </row>
    <row r="46" spans="1:18" x14ac:dyDescent="0.45">
      <c r="A46" s="51"/>
      <c r="B46" s="32"/>
      <c r="C46">
        <v>2018</v>
      </c>
      <c r="D46">
        <v>11</v>
      </c>
      <c r="E46">
        <v>8.42</v>
      </c>
      <c r="F46" s="3">
        <v>51.78</v>
      </c>
      <c r="G46">
        <v>1.57</v>
      </c>
      <c r="H46" s="3">
        <v>-1.07</v>
      </c>
      <c r="I46" s="2">
        <v>34.08</v>
      </c>
      <c r="J46" s="3">
        <v>-16.02</v>
      </c>
      <c r="K46" s="3">
        <v>-20.9</v>
      </c>
      <c r="L46" s="3">
        <v>1.9</v>
      </c>
      <c r="M46">
        <v>359792.54</v>
      </c>
      <c r="N46">
        <v>479279.17</v>
      </c>
      <c r="O46" s="2">
        <f t="shared" ref="O46:O50" si="12">M46/N46</f>
        <v>0.75069513244232999</v>
      </c>
      <c r="P46" s="3">
        <v>85.7</v>
      </c>
      <c r="Q46" s="3">
        <f>(P46-P45)/P45</f>
        <v>-0.40630412192587456</v>
      </c>
      <c r="R46" s="3">
        <v>0.44</v>
      </c>
    </row>
    <row r="47" spans="1:18" x14ac:dyDescent="0.45">
      <c r="A47" s="51"/>
      <c r="B47" s="32"/>
      <c r="C47">
        <v>2019</v>
      </c>
      <c r="D47">
        <v>11</v>
      </c>
      <c r="E47">
        <v>6.85</v>
      </c>
      <c r="F47" s="3">
        <v>45.76</v>
      </c>
      <c r="G47">
        <v>1.54</v>
      </c>
      <c r="H47" s="3">
        <v>-0.59</v>
      </c>
      <c r="I47" s="2">
        <v>36.090000000000003</v>
      </c>
      <c r="J47" s="3">
        <v>-8.65</v>
      </c>
      <c r="K47" s="3">
        <v>-12.15</v>
      </c>
      <c r="L47" s="3">
        <v>2.06</v>
      </c>
      <c r="M47">
        <v>364229.91</v>
      </c>
      <c r="N47">
        <v>487500.91</v>
      </c>
      <c r="O47" s="2">
        <f t="shared" si="12"/>
        <v>0.74713688226756336</v>
      </c>
      <c r="P47" s="3">
        <v>54.8</v>
      </c>
      <c r="Q47" s="3">
        <f t="shared" ref="Q47:Q50" si="13">(P47-P46)/P46</f>
        <v>-0.36056009334889155</v>
      </c>
      <c r="R47" s="3">
        <v>0.69</v>
      </c>
    </row>
    <row r="48" spans="1:18" x14ac:dyDescent="0.45">
      <c r="A48" s="51"/>
      <c r="B48" s="32"/>
      <c r="C48">
        <v>2020</v>
      </c>
      <c r="D48">
        <v>12</v>
      </c>
      <c r="E48">
        <v>5.49</v>
      </c>
      <c r="F48" s="3">
        <v>46.11</v>
      </c>
      <c r="G48" s="2">
        <v>1.7</v>
      </c>
      <c r="H48" s="3">
        <v>-0.52</v>
      </c>
      <c r="I48" s="2">
        <v>35.58</v>
      </c>
      <c r="J48" s="3">
        <v>-7.78</v>
      </c>
      <c r="K48" s="3">
        <v>-9.4600000000000009</v>
      </c>
      <c r="L48" s="3">
        <v>2.0699999999999998</v>
      </c>
      <c r="M48">
        <v>393506.85</v>
      </c>
      <c r="N48">
        <v>540114.5</v>
      </c>
      <c r="O48" s="2">
        <f t="shared" si="12"/>
        <v>0.72856190678087696</v>
      </c>
      <c r="P48" s="3">
        <v>31.55</v>
      </c>
      <c r="Q48" s="3">
        <f t="shared" si="13"/>
        <v>-0.4242700729927007</v>
      </c>
      <c r="R48" s="3">
        <v>0.32</v>
      </c>
    </row>
    <row r="49" spans="1:18" x14ac:dyDescent="0.45">
      <c r="A49" s="51"/>
      <c r="B49" s="32"/>
      <c r="C49">
        <v>2021</v>
      </c>
      <c r="D49">
        <v>12</v>
      </c>
      <c r="E49">
        <v>4.62</v>
      </c>
      <c r="F49" s="3">
        <v>41.34</v>
      </c>
      <c r="G49">
        <v>1.85</v>
      </c>
      <c r="H49">
        <v>0.27</v>
      </c>
      <c r="I49" s="2">
        <v>36.32</v>
      </c>
      <c r="J49">
        <v>4.22</v>
      </c>
      <c r="K49" s="3">
        <v>4.87</v>
      </c>
      <c r="L49" s="3">
        <v>2.2999999999999998</v>
      </c>
      <c r="M49">
        <v>732850.18</v>
      </c>
      <c r="N49">
        <v>1045017.66</v>
      </c>
      <c r="O49" s="2">
        <f t="shared" si="12"/>
        <v>0.70128018697789285</v>
      </c>
      <c r="P49" s="3">
        <v>43.4</v>
      </c>
      <c r="Q49" s="3">
        <f t="shared" si="13"/>
        <v>0.37559429477020595</v>
      </c>
      <c r="R49" s="3">
        <v>0.37</v>
      </c>
    </row>
    <row r="50" spans="1:18" x14ac:dyDescent="0.45">
      <c r="A50" s="51"/>
      <c r="B50" s="33"/>
      <c r="C50">
        <v>2022</v>
      </c>
      <c r="D50">
        <v>14</v>
      </c>
      <c r="E50">
        <v>3.68</v>
      </c>
      <c r="F50" s="3">
        <v>43.59</v>
      </c>
      <c r="G50">
        <v>1.89</v>
      </c>
      <c r="H50">
        <v>0.44</v>
      </c>
      <c r="I50" s="2">
        <v>36.53</v>
      </c>
      <c r="J50" s="2">
        <v>7.7</v>
      </c>
      <c r="K50" s="3">
        <v>7.94</v>
      </c>
      <c r="L50" s="3">
        <v>2.33</v>
      </c>
      <c r="M50">
        <v>831892.37</v>
      </c>
      <c r="N50">
        <v>1158904.94</v>
      </c>
      <c r="O50" s="2">
        <f t="shared" si="12"/>
        <v>0.71782623516990107</v>
      </c>
      <c r="P50" s="3">
        <v>76.45</v>
      </c>
      <c r="Q50" s="3">
        <f t="shared" si="13"/>
        <v>0.76152073732718906</v>
      </c>
      <c r="R50" s="3">
        <v>0.4</v>
      </c>
    </row>
    <row r="51" spans="1:18" x14ac:dyDescent="0.4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x14ac:dyDescent="0.45">
      <c r="A52" s="52">
        <v>8</v>
      </c>
      <c r="B52" s="22" t="s">
        <v>29</v>
      </c>
      <c r="C52">
        <v>2017</v>
      </c>
      <c r="F52" s="3"/>
      <c r="I52" s="2"/>
      <c r="J52" s="3"/>
      <c r="K52" s="3"/>
      <c r="L52" s="3"/>
      <c r="P52" s="3">
        <v>72.599999999999994</v>
      </c>
    </row>
    <row r="53" spans="1:18" x14ac:dyDescent="0.45">
      <c r="A53" s="52"/>
      <c r="B53" s="22"/>
      <c r="C53">
        <v>2018</v>
      </c>
      <c r="D53">
        <v>9</v>
      </c>
      <c r="E53" s="2">
        <v>11.1</v>
      </c>
      <c r="F53" s="3">
        <v>53.43</v>
      </c>
      <c r="G53">
        <v>0.85</v>
      </c>
      <c r="H53">
        <v>-1.56</v>
      </c>
      <c r="I53" s="2">
        <v>42.46</v>
      </c>
      <c r="J53" s="3">
        <v>-21.23</v>
      </c>
      <c r="K53" s="3">
        <v>-28.38</v>
      </c>
      <c r="L53" s="3">
        <v>1.99</v>
      </c>
      <c r="M53">
        <v>219250.28</v>
      </c>
      <c r="N53">
        <v>318530.51</v>
      </c>
      <c r="O53" s="2">
        <f t="shared" ref="O53:O57" si="14">M53/N53</f>
        <v>0.68831798875404426</v>
      </c>
      <c r="P53" s="3">
        <v>36.700000000000003</v>
      </c>
      <c r="Q53" s="3">
        <f>(P53-P52)/P52</f>
        <v>-0.49449035812672171</v>
      </c>
      <c r="R53">
        <v>1.07</v>
      </c>
    </row>
    <row r="54" spans="1:18" x14ac:dyDescent="0.45">
      <c r="A54" s="52"/>
      <c r="B54" s="22"/>
      <c r="C54">
        <v>2019</v>
      </c>
      <c r="D54">
        <v>9</v>
      </c>
      <c r="E54">
        <v>7.73</v>
      </c>
      <c r="F54" s="3">
        <v>59.18</v>
      </c>
      <c r="G54">
        <v>0.96</v>
      </c>
      <c r="H54" s="2">
        <v>-1.7</v>
      </c>
      <c r="I54" s="2">
        <v>46.2</v>
      </c>
      <c r="J54" s="3">
        <v>-24.91</v>
      </c>
      <c r="K54" s="3">
        <v>-29.79</v>
      </c>
      <c r="L54" s="3">
        <v>2.04</v>
      </c>
      <c r="M54">
        <v>201109.35</v>
      </c>
      <c r="N54" s="2">
        <v>324241.90000000002</v>
      </c>
      <c r="O54" s="2">
        <f t="shared" si="14"/>
        <v>0.62024479254531872</v>
      </c>
      <c r="P54" s="3">
        <v>17.899999999999999</v>
      </c>
      <c r="Q54" s="3">
        <f t="shared" ref="Q54:Q57" si="15">(P54-P53)/P53</f>
        <v>-0.51226158038147152</v>
      </c>
      <c r="R54">
        <v>0.78</v>
      </c>
    </row>
    <row r="55" spans="1:18" x14ac:dyDescent="0.45">
      <c r="A55" s="52"/>
      <c r="B55" s="22"/>
      <c r="C55">
        <v>2020</v>
      </c>
      <c r="D55">
        <v>11</v>
      </c>
      <c r="E55">
        <v>7.63</v>
      </c>
      <c r="F55" s="3">
        <v>45.54</v>
      </c>
      <c r="G55">
        <v>1.27</v>
      </c>
      <c r="H55">
        <v>-0.31</v>
      </c>
      <c r="I55" s="2">
        <v>46.4</v>
      </c>
      <c r="J55" s="3">
        <v>-4.75</v>
      </c>
      <c r="K55" s="3">
        <v>-6.07</v>
      </c>
      <c r="L55" s="3">
        <v>2.14</v>
      </c>
      <c r="M55">
        <v>209582.14</v>
      </c>
      <c r="N55">
        <v>343942.43</v>
      </c>
      <c r="O55" s="2">
        <f t="shared" si="14"/>
        <v>0.60935238493255983</v>
      </c>
      <c r="P55" s="3">
        <v>13.85</v>
      </c>
      <c r="Q55" s="3">
        <f t="shared" si="15"/>
        <v>-0.22625698324022342</v>
      </c>
      <c r="R55">
        <v>0.38</v>
      </c>
    </row>
    <row r="56" spans="1:18" x14ac:dyDescent="0.45">
      <c r="A56" s="52"/>
      <c r="B56" s="22"/>
      <c r="C56">
        <v>2021</v>
      </c>
      <c r="D56">
        <v>14</v>
      </c>
      <c r="E56">
        <v>5.77</v>
      </c>
      <c r="F56" s="3">
        <v>47.49</v>
      </c>
      <c r="G56">
        <v>1.27</v>
      </c>
      <c r="H56">
        <v>-0.24</v>
      </c>
      <c r="I56" s="2">
        <v>49.27</v>
      </c>
      <c r="J56" s="3">
        <v>-3.9</v>
      </c>
      <c r="K56" s="3">
        <v>-4.95</v>
      </c>
      <c r="L56" s="3">
        <v>2.23</v>
      </c>
      <c r="M56">
        <v>215500.14</v>
      </c>
      <c r="N56">
        <v>365738.96</v>
      </c>
      <c r="O56" s="2">
        <f t="shared" si="14"/>
        <v>0.5892184414807764</v>
      </c>
      <c r="P56" s="3">
        <v>21.25</v>
      </c>
      <c r="Q56" s="3">
        <f t="shared" si="15"/>
        <v>0.53429602888086647</v>
      </c>
      <c r="R56">
        <v>0.54</v>
      </c>
    </row>
    <row r="57" spans="1:18" x14ac:dyDescent="0.45">
      <c r="A57" s="52"/>
      <c r="B57" s="22"/>
      <c r="C57">
        <v>2022</v>
      </c>
      <c r="D57">
        <v>13</v>
      </c>
      <c r="E57">
        <v>3.97</v>
      </c>
      <c r="F57" s="3">
        <v>44.27</v>
      </c>
      <c r="G57">
        <v>1.37</v>
      </c>
      <c r="H57">
        <v>0.27</v>
      </c>
      <c r="I57" s="2">
        <v>50.63</v>
      </c>
      <c r="J57">
        <v>4.58</v>
      </c>
      <c r="K57" s="3">
        <v>4.38</v>
      </c>
      <c r="L57" s="3">
        <v>2.4500000000000002</v>
      </c>
      <c r="M57" s="2">
        <v>240823.6</v>
      </c>
      <c r="N57">
        <v>381407.95</v>
      </c>
      <c r="O57" s="2">
        <f t="shared" si="14"/>
        <v>0.63140687025532638</v>
      </c>
      <c r="P57" s="3">
        <v>33.049999999999997</v>
      </c>
      <c r="Q57" s="3">
        <f t="shared" si="15"/>
        <v>0.55529411764705872</v>
      </c>
      <c r="R57">
        <v>0.67</v>
      </c>
    </row>
    <row r="58" spans="1:18" x14ac:dyDescent="0.45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ht="15" customHeight="1" x14ac:dyDescent="0.45">
      <c r="A59" s="52">
        <v>9</v>
      </c>
      <c r="B59" s="14" t="s">
        <v>31</v>
      </c>
      <c r="C59">
        <v>2017</v>
      </c>
      <c r="P59" s="3">
        <v>22.25</v>
      </c>
    </row>
    <row r="60" spans="1:18" x14ac:dyDescent="0.45">
      <c r="A60" s="52"/>
      <c r="B60" s="14"/>
      <c r="C60">
        <v>2018</v>
      </c>
      <c r="D60">
        <v>9</v>
      </c>
      <c r="E60">
        <v>15.33</v>
      </c>
      <c r="F60" s="3">
        <v>71.61</v>
      </c>
      <c r="G60">
        <v>1.51</v>
      </c>
      <c r="H60">
        <v>-2.54</v>
      </c>
      <c r="I60" s="2">
        <v>36.74</v>
      </c>
      <c r="J60" s="3">
        <v>-35.159999999999997</v>
      </c>
      <c r="K60" s="3">
        <v>-47.45</v>
      </c>
      <c r="L60" s="3">
        <v>2.2000000000000002</v>
      </c>
      <c r="M60">
        <v>176428.74</v>
      </c>
      <c r="N60">
        <v>239333.87</v>
      </c>
      <c r="O60" s="2">
        <f t="shared" ref="O60:O64" si="16">M60/N60</f>
        <v>0.73716578434970359</v>
      </c>
      <c r="P60" s="3">
        <v>14.93</v>
      </c>
      <c r="Q60" s="3">
        <f t="shared" ref="Q60:Q64" si="17">(P60-P59)/P59</f>
        <v>-0.32898876404494382</v>
      </c>
      <c r="R60">
        <v>0.64</v>
      </c>
    </row>
    <row r="61" spans="1:18" x14ac:dyDescent="0.45">
      <c r="A61" s="52"/>
      <c r="B61" s="14"/>
      <c r="C61">
        <v>2019</v>
      </c>
      <c r="D61">
        <v>10</v>
      </c>
      <c r="E61">
        <v>10.81</v>
      </c>
      <c r="F61" s="3">
        <v>60.55</v>
      </c>
      <c r="G61">
        <v>2.0499999999999998</v>
      </c>
      <c r="H61">
        <v>-1.49</v>
      </c>
      <c r="I61" s="2">
        <v>38.29</v>
      </c>
      <c r="J61" s="3">
        <v>-21.2</v>
      </c>
      <c r="K61" s="3">
        <v>-22.84</v>
      </c>
      <c r="L61" s="3">
        <v>2.11</v>
      </c>
      <c r="M61">
        <v>179739.18</v>
      </c>
      <c r="N61">
        <v>245039.99</v>
      </c>
      <c r="O61" s="2">
        <f t="shared" si="16"/>
        <v>0.73350957939559169</v>
      </c>
      <c r="P61" s="3">
        <v>11.26</v>
      </c>
      <c r="Q61" s="3">
        <f t="shared" si="17"/>
        <v>-0.24581379772270595</v>
      </c>
      <c r="R61">
        <v>0.81</v>
      </c>
    </row>
    <row r="62" spans="1:18" x14ac:dyDescent="0.45">
      <c r="A62" s="52"/>
      <c r="B62" s="14"/>
      <c r="C62">
        <v>2020</v>
      </c>
      <c r="D62">
        <v>10</v>
      </c>
      <c r="E62">
        <v>5.44</v>
      </c>
      <c r="F62" s="3">
        <v>82.77</v>
      </c>
      <c r="G62">
        <v>1.44</v>
      </c>
      <c r="H62">
        <v>-3.27</v>
      </c>
      <c r="I62" s="2">
        <v>40.25</v>
      </c>
      <c r="J62" s="3">
        <v>-48.99</v>
      </c>
      <c r="K62" s="3">
        <v>-52.78</v>
      </c>
      <c r="L62" s="3">
        <v>2.0299999999999998</v>
      </c>
      <c r="M62">
        <v>178183.41</v>
      </c>
      <c r="N62">
        <v>244526.59</v>
      </c>
      <c r="O62" s="2">
        <f t="shared" si="16"/>
        <v>0.72868725646564658</v>
      </c>
      <c r="P62" s="3">
        <v>10.72</v>
      </c>
      <c r="Q62" s="3">
        <f t="shared" si="17"/>
        <v>-4.7957371225577188E-2</v>
      </c>
      <c r="R62">
        <v>0.72</v>
      </c>
    </row>
    <row r="63" spans="1:18" x14ac:dyDescent="0.45">
      <c r="A63" s="52"/>
      <c r="B63" s="14"/>
      <c r="C63">
        <v>2021</v>
      </c>
      <c r="D63">
        <v>15</v>
      </c>
      <c r="E63">
        <v>3.58</v>
      </c>
      <c r="F63" s="3">
        <v>47.17</v>
      </c>
      <c r="G63">
        <v>2.25</v>
      </c>
      <c r="H63" s="2">
        <v>0.3</v>
      </c>
      <c r="I63" s="2">
        <v>42.51</v>
      </c>
      <c r="J63" s="2">
        <v>4.9000000000000004</v>
      </c>
      <c r="K63" s="3">
        <v>4.9000000000000004</v>
      </c>
      <c r="L63" s="3">
        <v>2.15</v>
      </c>
      <c r="M63">
        <v>175597.35</v>
      </c>
      <c r="N63">
        <v>260904.68</v>
      </c>
      <c r="O63" s="2">
        <f t="shared" si="16"/>
        <v>0.673032580327804</v>
      </c>
      <c r="P63" s="3">
        <v>20.399999999999999</v>
      </c>
      <c r="Q63" s="3">
        <f t="shared" si="17"/>
        <v>0.90298507462686539</v>
      </c>
      <c r="R63">
        <v>1.55</v>
      </c>
    </row>
    <row r="64" spans="1:18" x14ac:dyDescent="0.45">
      <c r="A64" s="52"/>
      <c r="B64" s="14"/>
      <c r="C64">
        <v>2022</v>
      </c>
      <c r="D64">
        <v>13</v>
      </c>
      <c r="E64">
        <v>2.65</v>
      </c>
      <c r="F64" s="3">
        <v>43.93</v>
      </c>
      <c r="G64">
        <v>1.99</v>
      </c>
      <c r="H64">
        <v>0.56999999999999995</v>
      </c>
      <c r="I64" s="2">
        <v>43.43</v>
      </c>
      <c r="J64">
        <v>10.210000000000001</v>
      </c>
      <c r="K64" s="3">
        <v>7.43</v>
      </c>
      <c r="L64" s="3">
        <v>2.1</v>
      </c>
      <c r="M64">
        <v>197832.95999999999</v>
      </c>
      <c r="N64">
        <v>288229.96000000002</v>
      </c>
      <c r="O64" s="2">
        <f t="shared" si="16"/>
        <v>0.68637195106296367</v>
      </c>
      <c r="P64" s="3">
        <v>25.8</v>
      </c>
      <c r="Q64" s="3">
        <f t="shared" si="17"/>
        <v>0.26470588235294129</v>
      </c>
      <c r="R64" s="2">
        <v>1.5</v>
      </c>
    </row>
    <row r="65" spans="1:18" x14ac:dyDescent="0.4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ht="15" customHeight="1" x14ac:dyDescent="0.45">
      <c r="A66" s="52">
        <v>10</v>
      </c>
      <c r="B66" s="15" t="s">
        <v>28</v>
      </c>
      <c r="C66">
        <v>2017</v>
      </c>
      <c r="P66" s="3">
        <v>49.1</v>
      </c>
    </row>
    <row r="67" spans="1:18" x14ac:dyDescent="0.45">
      <c r="A67" s="52"/>
      <c r="B67" s="15"/>
      <c r="C67">
        <v>2018</v>
      </c>
      <c r="D67">
        <v>11</v>
      </c>
      <c r="E67">
        <v>6.93</v>
      </c>
      <c r="F67">
        <v>41.73</v>
      </c>
      <c r="G67">
        <v>1.02</v>
      </c>
      <c r="H67" s="3">
        <v>-0.65</v>
      </c>
      <c r="I67" s="2">
        <v>23.65</v>
      </c>
      <c r="J67" s="3">
        <v>-9.35</v>
      </c>
      <c r="K67" s="3">
        <v>-12.03</v>
      </c>
      <c r="L67">
        <v>1.96</v>
      </c>
      <c r="M67">
        <v>79694.89</v>
      </c>
      <c r="N67">
        <v>111591.84</v>
      </c>
      <c r="O67" s="2">
        <f t="shared" ref="O67:O71" si="18">M67/N67</f>
        <v>0.71416413601567996</v>
      </c>
      <c r="P67" s="3">
        <v>32.9</v>
      </c>
      <c r="Q67" s="3">
        <f t="shared" ref="Q67:Q71" si="19">(P67-P66)/P66</f>
        <v>-0.32993890020366606</v>
      </c>
      <c r="R67">
        <v>0.32</v>
      </c>
    </row>
    <row r="68" spans="1:18" x14ac:dyDescent="0.45">
      <c r="A68" s="52"/>
      <c r="B68" s="15"/>
      <c r="C68">
        <v>2019</v>
      </c>
      <c r="D68">
        <v>10</v>
      </c>
      <c r="E68">
        <v>7.22</v>
      </c>
      <c r="F68" s="2">
        <v>38.89</v>
      </c>
      <c r="G68" s="2">
        <v>1.3</v>
      </c>
      <c r="H68" s="3">
        <v>-0.49</v>
      </c>
      <c r="I68" s="2">
        <v>26.79</v>
      </c>
      <c r="J68" s="3">
        <v>-6.35</v>
      </c>
      <c r="K68" s="3">
        <v>-9.5299999999999994</v>
      </c>
      <c r="L68">
        <v>2.09</v>
      </c>
      <c r="M68">
        <v>81578.73</v>
      </c>
      <c r="N68">
        <v>106973.01</v>
      </c>
      <c r="O68" s="2">
        <f t="shared" si="18"/>
        <v>0.76261040051130657</v>
      </c>
      <c r="P68" s="3">
        <v>21.1</v>
      </c>
      <c r="Q68" s="3">
        <f t="shared" si="19"/>
        <v>-0.35866261398176286</v>
      </c>
      <c r="R68">
        <v>0.31</v>
      </c>
    </row>
    <row r="69" spans="1:18" x14ac:dyDescent="0.45">
      <c r="A69" s="52"/>
      <c r="B69" s="15"/>
      <c r="C69">
        <v>2020</v>
      </c>
      <c r="D69">
        <v>12</v>
      </c>
      <c r="E69">
        <v>8.0299999999999994</v>
      </c>
      <c r="F69" s="2">
        <v>44.7</v>
      </c>
      <c r="G69">
        <v>1.1100000000000001</v>
      </c>
      <c r="H69" s="3">
        <v>-0.98</v>
      </c>
      <c r="I69" s="2">
        <v>29.57</v>
      </c>
      <c r="J69" s="3">
        <v>-12.49</v>
      </c>
      <c r="K69" s="3">
        <v>-17.7</v>
      </c>
      <c r="L69">
        <v>2.04</v>
      </c>
      <c r="M69">
        <v>74710.880000000005</v>
      </c>
      <c r="N69" s="2">
        <v>98477</v>
      </c>
      <c r="O69" s="2">
        <f t="shared" si="18"/>
        <v>0.75866324116291117</v>
      </c>
      <c r="P69" s="3">
        <v>13.35</v>
      </c>
      <c r="Q69" s="3">
        <f t="shared" si="19"/>
        <v>-0.36729857819905221</v>
      </c>
      <c r="R69">
        <v>0.14000000000000001</v>
      </c>
    </row>
    <row r="70" spans="1:18" x14ac:dyDescent="0.45">
      <c r="A70" s="52"/>
      <c r="B70" s="15"/>
      <c r="C70">
        <v>2021</v>
      </c>
      <c r="D70">
        <v>17</v>
      </c>
      <c r="E70">
        <v>4.04</v>
      </c>
      <c r="F70">
        <v>74.87</v>
      </c>
      <c r="G70">
        <v>0.71</v>
      </c>
      <c r="H70" s="3">
        <v>-2.4700000000000002</v>
      </c>
      <c r="I70" s="2">
        <v>32.799999999999997</v>
      </c>
      <c r="J70" s="3">
        <v>-39.18</v>
      </c>
      <c r="K70" s="3">
        <v>-32.67</v>
      </c>
      <c r="L70">
        <v>2.04</v>
      </c>
      <c r="M70">
        <v>76874.2</v>
      </c>
      <c r="N70">
        <v>17114.740000000002</v>
      </c>
      <c r="O70" s="2">
        <f t="shared" si="18"/>
        <v>4.4916954625077556</v>
      </c>
      <c r="P70" s="3">
        <v>16.100000000000001</v>
      </c>
      <c r="Q70" s="3">
        <f t="shared" si="19"/>
        <v>0.20599250936329602</v>
      </c>
      <c r="R70">
        <v>0.85</v>
      </c>
    </row>
    <row r="71" spans="1:18" x14ac:dyDescent="0.45">
      <c r="A71" s="52"/>
      <c r="B71" s="15"/>
      <c r="C71">
        <v>2022</v>
      </c>
      <c r="D71">
        <v>18</v>
      </c>
      <c r="E71">
        <v>2.74</v>
      </c>
      <c r="F71">
        <v>31.92</v>
      </c>
      <c r="G71">
        <v>1.1200000000000001</v>
      </c>
      <c r="H71">
        <v>0.85</v>
      </c>
      <c r="I71" s="2">
        <v>33.799999999999997</v>
      </c>
      <c r="J71">
        <v>14.64</v>
      </c>
      <c r="K71">
        <v>7.41</v>
      </c>
      <c r="L71">
        <v>2.1800000000000002</v>
      </c>
      <c r="M71">
        <v>77209.23</v>
      </c>
      <c r="N71">
        <v>118591.24</v>
      </c>
      <c r="O71" s="2">
        <f t="shared" si="18"/>
        <v>0.65105339989699063</v>
      </c>
      <c r="P71" s="3">
        <v>33.85</v>
      </c>
      <c r="Q71" s="3">
        <f t="shared" si="19"/>
        <v>1.1024844720496894</v>
      </c>
      <c r="R71">
        <v>0.75</v>
      </c>
    </row>
    <row r="72" spans="1:18" x14ac:dyDescent="0.45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ht="15" customHeight="1" x14ac:dyDescent="0.45">
      <c r="A73" s="52"/>
      <c r="B73" s="16"/>
      <c r="P73" s="3"/>
    </row>
    <row r="74" spans="1:18" x14ac:dyDescent="0.45">
      <c r="A74" s="52"/>
      <c r="B74" s="16"/>
      <c r="G74" s="3"/>
      <c r="H74" s="3"/>
      <c r="I74" s="3"/>
      <c r="J74" s="3"/>
      <c r="K74" s="3"/>
      <c r="L74" s="3"/>
      <c r="O74" s="2"/>
      <c r="P74" s="3"/>
      <c r="Q74" s="3"/>
    </row>
    <row r="75" spans="1:18" x14ac:dyDescent="0.45">
      <c r="A75" s="52"/>
      <c r="B75" s="16"/>
      <c r="G75" s="3"/>
      <c r="H75" s="3"/>
      <c r="I75" s="3"/>
      <c r="J75" s="3"/>
      <c r="K75" s="3"/>
      <c r="L75" s="3"/>
      <c r="N75" s="2"/>
      <c r="O75" s="2"/>
      <c r="P75" s="3"/>
      <c r="Q75" s="3"/>
    </row>
    <row r="76" spans="1:18" x14ac:dyDescent="0.45">
      <c r="A76" s="52"/>
      <c r="B76" s="16"/>
      <c r="G76" s="3"/>
      <c r="H76" s="3"/>
      <c r="I76" s="3"/>
      <c r="J76" s="3"/>
      <c r="K76" s="3"/>
      <c r="L76" s="3"/>
      <c r="O76" s="2"/>
      <c r="P76" s="3"/>
      <c r="Q76" s="3"/>
    </row>
    <row r="77" spans="1:18" x14ac:dyDescent="0.45">
      <c r="A77" s="52"/>
      <c r="B77" s="16"/>
      <c r="G77" s="3"/>
      <c r="H77" s="3"/>
      <c r="I77" s="3"/>
      <c r="J77" s="3"/>
      <c r="K77" s="3"/>
      <c r="L77" s="3"/>
      <c r="O77" s="2"/>
      <c r="P77" s="3"/>
      <c r="Q77" s="3"/>
    </row>
    <row r="78" spans="1:18" x14ac:dyDescent="0.45">
      <c r="A78" s="52"/>
      <c r="B78" s="16"/>
      <c r="G78" s="3"/>
      <c r="H78" s="3"/>
      <c r="I78" s="3"/>
      <c r="J78" s="3"/>
      <c r="K78" s="3"/>
      <c r="L78" s="3"/>
      <c r="O78" s="2"/>
      <c r="P78" s="3"/>
      <c r="Q78" s="3"/>
      <c r="R78" s="2"/>
    </row>
    <row r="79" spans="1:18" x14ac:dyDescent="0.45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x14ac:dyDescent="0.45">
      <c r="A80" s="52"/>
      <c r="B80" s="17"/>
      <c r="P80" s="3"/>
    </row>
    <row r="81" spans="1:18" x14ac:dyDescent="0.45">
      <c r="A81" s="52"/>
      <c r="B81" s="17"/>
      <c r="G81" s="3"/>
      <c r="H81" s="3"/>
      <c r="I81" s="3"/>
      <c r="J81" s="3"/>
      <c r="K81" s="3"/>
      <c r="L81" s="3"/>
      <c r="M81" s="2"/>
      <c r="N81" s="2"/>
      <c r="O81" s="2"/>
      <c r="P81" s="3"/>
      <c r="Q81" s="3"/>
    </row>
    <row r="82" spans="1:18" x14ac:dyDescent="0.45">
      <c r="A82" s="52"/>
      <c r="B82" s="17"/>
      <c r="G82" s="3"/>
      <c r="H82" s="3"/>
      <c r="I82" s="3"/>
      <c r="J82" s="3"/>
      <c r="K82" s="3"/>
      <c r="L82" s="3"/>
      <c r="M82" s="2"/>
      <c r="O82" s="2"/>
      <c r="P82" s="3"/>
      <c r="Q82" s="3"/>
    </row>
    <row r="83" spans="1:18" x14ac:dyDescent="0.45">
      <c r="A83" s="52"/>
      <c r="B83" s="17"/>
      <c r="G83" s="3"/>
      <c r="H83" s="3"/>
      <c r="I83" s="3"/>
      <c r="J83" s="3"/>
      <c r="K83" s="3"/>
      <c r="L83" s="3"/>
      <c r="M83" s="2"/>
      <c r="O83" s="2"/>
      <c r="P83" s="3"/>
      <c r="Q83" s="3"/>
    </row>
    <row r="84" spans="1:18" x14ac:dyDescent="0.45">
      <c r="A84" s="52"/>
      <c r="B84" s="17"/>
      <c r="G84" s="3"/>
      <c r="H84" s="3"/>
      <c r="I84" s="3"/>
      <c r="J84" s="3"/>
      <c r="K84" s="3"/>
      <c r="L84" s="3"/>
      <c r="M84" s="2"/>
      <c r="O84" s="2"/>
      <c r="P84" s="3"/>
      <c r="Q84" s="3"/>
    </row>
    <row r="85" spans="1:18" x14ac:dyDescent="0.45">
      <c r="A85" s="52"/>
      <c r="B85" s="17"/>
      <c r="G85" s="3"/>
      <c r="H85" s="3"/>
      <c r="I85" s="3"/>
      <c r="J85" s="3"/>
      <c r="K85" s="3"/>
      <c r="L85" s="3"/>
      <c r="M85" s="2"/>
      <c r="O85" s="2"/>
      <c r="P85" s="3"/>
      <c r="Q85" s="3"/>
    </row>
    <row r="86" spans="1:18" x14ac:dyDescent="0.45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x14ac:dyDescent="0.45">
      <c r="A87" s="52"/>
      <c r="B87" s="34"/>
      <c r="P87" s="2"/>
    </row>
    <row r="88" spans="1:18" x14ac:dyDescent="0.45">
      <c r="A88" s="52"/>
      <c r="B88" s="34"/>
      <c r="E88" s="2"/>
      <c r="G88" s="2"/>
      <c r="O88" s="2"/>
      <c r="P88" s="2"/>
      <c r="Q88" s="2"/>
    </row>
    <row r="89" spans="1:18" x14ac:dyDescent="0.45">
      <c r="A89" s="52"/>
      <c r="B89" s="34"/>
      <c r="E89" s="2"/>
      <c r="O89" s="2"/>
      <c r="P89" s="2"/>
      <c r="Q89" s="2"/>
    </row>
    <row r="90" spans="1:18" x14ac:dyDescent="0.45">
      <c r="A90" s="52"/>
      <c r="B90" s="34"/>
      <c r="E90" s="2"/>
      <c r="O90" s="2"/>
      <c r="P90" s="2"/>
      <c r="Q90" s="2"/>
    </row>
    <row r="91" spans="1:18" x14ac:dyDescent="0.45">
      <c r="A91" s="52"/>
      <c r="B91" s="34"/>
      <c r="E91" s="2"/>
      <c r="O91" s="2"/>
      <c r="P91" s="2"/>
      <c r="Q91" s="2"/>
    </row>
    <row r="92" spans="1:18" x14ac:dyDescent="0.45">
      <c r="A92" s="52"/>
      <c r="B92" s="34"/>
      <c r="O92" s="2"/>
      <c r="P92" s="2"/>
      <c r="Q92" s="2"/>
      <c r="R92" s="2"/>
    </row>
    <row r="93" spans="1:18" x14ac:dyDescent="0.4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 x14ac:dyDescent="0.45">
      <c r="A94" s="52"/>
      <c r="B94" s="35"/>
      <c r="P94" s="2"/>
    </row>
    <row r="95" spans="1:18" x14ac:dyDescent="0.45">
      <c r="A95" s="52"/>
      <c r="B95" s="35"/>
      <c r="O95" s="2"/>
      <c r="P95" s="2"/>
      <c r="Q95" s="2"/>
    </row>
    <row r="96" spans="1:18" x14ac:dyDescent="0.45">
      <c r="A96" s="52"/>
      <c r="B96" s="35"/>
      <c r="J96" s="2"/>
      <c r="L96" s="2"/>
      <c r="N96" s="2"/>
      <c r="O96" s="2"/>
      <c r="P96" s="2"/>
      <c r="Q96" s="2"/>
    </row>
    <row r="97" spans="1:18" x14ac:dyDescent="0.45">
      <c r="A97" s="52"/>
      <c r="B97" s="35"/>
      <c r="J97" s="2"/>
      <c r="O97" s="2"/>
      <c r="P97" s="2"/>
      <c r="Q97" s="3"/>
    </row>
    <row r="98" spans="1:18" x14ac:dyDescent="0.45">
      <c r="A98" s="52"/>
      <c r="B98" s="35"/>
      <c r="E98" s="2"/>
      <c r="G98" s="2"/>
      <c r="O98" s="2"/>
      <c r="P98" s="2"/>
      <c r="Q98" s="2"/>
    </row>
    <row r="99" spans="1:18" x14ac:dyDescent="0.45">
      <c r="A99" s="52"/>
      <c r="B99" s="35"/>
      <c r="O99" s="2"/>
      <c r="P99" s="2"/>
      <c r="Q99" s="2"/>
    </row>
    <row r="100" spans="1:18" x14ac:dyDescent="0.4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18" x14ac:dyDescent="0.45">
      <c r="A101" s="52"/>
      <c r="B101" s="36"/>
      <c r="P101" s="2"/>
    </row>
    <row r="102" spans="1:18" x14ac:dyDescent="0.45">
      <c r="A102" s="52"/>
      <c r="B102" s="36"/>
      <c r="J102" s="2"/>
      <c r="O102" s="2"/>
      <c r="P102" s="2"/>
      <c r="Q102" s="2"/>
    </row>
    <row r="103" spans="1:18" x14ac:dyDescent="0.45">
      <c r="A103" s="52"/>
      <c r="B103" s="36"/>
      <c r="J103" s="2"/>
      <c r="O103" s="2"/>
      <c r="P103" s="2"/>
      <c r="Q103" s="2"/>
    </row>
    <row r="104" spans="1:18" x14ac:dyDescent="0.45">
      <c r="A104" s="52"/>
      <c r="B104" s="36"/>
      <c r="M104" s="2"/>
      <c r="O104" s="2"/>
      <c r="P104" s="2"/>
      <c r="Q104" s="3"/>
    </row>
    <row r="105" spans="1:18" x14ac:dyDescent="0.45">
      <c r="A105" s="52"/>
      <c r="B105" s="36"/>
      <c r="G105" s="2"/>
      <c r="M105" s="2"/>
      <c r="O105" s="2"/>
      <c r="P105" s="2"/>
      <c r="Q105" s="2"/>
    </row>
    <row r="106" spans="1:18" x14ac:dyDescent="0.45">
      <c r="A106" s="52"/>
      <c r="B106" s="36"/>
      <c r="F106" s="2"/>
      <c r="G106" s="2"/>
      <c r="H106" s="2"/>
      <c r="K106" s="2"/>
      <c r="L106" s="2"/>
      <c r="O106" s="2"/>
      <c r="P106" s="2"/>
      <c r="Q106" s="2"/>
    </row>
    <row r="107" spans="1:18" x14ac:dyDescent="0.45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1:18" x14ac:dyDescent="0.45">
      <c r="A108" s="52"/>
      <c r="B108" s="37"/>
      <c r="P108" s="2"/>
    </row>
    <row r="109" spans="1:18" x14ac:dyDescent="0.45">
      <c r="A109" s="52"/>
      <c r="B109" s="37"/>
      <c r="G109" s="2"/>
      <c r="I109" s="2"/>
      <c r="O109" s="2"/>
      <c r="P109" s="2"/>
      <c r="Q109" s="2"/>
    </row>
    <row r="110" spans="1:18" x14ac:dyDescent="0.45">
      <c r="A110" s="52"/>
      <c r="B110" s="37"/>
      <c r="I110" s="2"/>
      <c r="L110" s="2"/>
      <c r="O110" s="2"/>
      <c r="P110" s="2"/>
      <c r="Q110" s="2"/>
    </row>
    <row r="111" spans="1:18" x14ac:dyDescent="0.45">
      <c r="A111" s="52"/>
      <c r="B111" s="37"/>
      <c r="I111" s="2"/>
      <c r="N111" s="2"/>
      <c r="O111" s="2"/>
      <c r="P111" s="2"/>
      <c r="Q111" s="2"/>
    </row>
    <row r="112" spans="1:18" x14ac:dyDescent="0.45">
      <c r="A112" s="52"/>
      <c r="B112" s="37"/>
      <c r="I112" s="2"/>
      <c r="L112" s="2"/>
      <c r="O112" s="2"/>
      <c r="P112" s="2"/>
      <c r="Q112" s="3"/>
      <c r="R112" s="2"/>
    </row>
    <row r="113" spans="1:18" x14ac:dyDescent="0.45">
      <c r="A113" s="52"/>
      <c r="B113" s="37"/>
      <c r="I113" s="2"/>
      <c r="J113" s="2"/>
      <c r="O113" s="2"/>
      <c r="P113" s="2"/>
      <c r="Q113" s="2"/>
    </row>
    <row r="114" spans="1:18" x14ac:dyDescent="0.4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1:18" x14ac:dyDescent="0.45">
      <c r="A115" s="52"/>
      <c r="B115" s="38"/>
      <c r="P115" s="2"/>
    </row>
    <row r="116" spans="1:18" x14ac:dyDescent="0.45">
      <c r="A116" s="52"/>
      <c r="B116" s="38"/>
      <c r="I116" s="2"/>
      <c r="N116" s="2"/>
      <c r="O116" s="2"/>
      <c r="P116" s="2"/>
      <c r="Q116" s="3"/>
    </row>
    <row r="117" spans="1:18" x14ac:dyDescent="0.45">
      <c r="A117" s="52"/>
      <c r="B117" s="38"/>
      <c r="F117" s="2"/>
      <c r="G117" s="2"/>
      <c r="I117" s="2"/>
      <c r="O117" s="2"/>
      <c r="P117" s="2"/>
      <c r="Q117" s="3"/>
    </row>
    <row r="118" spans="1:18" x14ac:dyDescent="0.45">
      <c r="A118" s="52"/>
      <c r="B118" s="38"/>
      <c r="I118" s="2"/>
      <c r="O118" s="2"/>
      <c r="P118" s="2"/>
      <c r="Q118" s="3"/>
    </row>
    <row r="119" spans="1:18" x14ac:dyDescent="0.45">
      <c r="A119" s="52"/>
      <c r="B119" s="38"/>
      <c r="I119" s="2"/>
      <c r="O119" s="2"/>
      <c r="P119" s="2"/>
      <c r="Q119" s="3"/>
    </row>
    <row r="120" spans="1:18" x14ac:dyDescent="0.45">
      <c r="A120" s="52"/>
      <c r="B120" s="38"/>
      <c r="G120" s="2"/>
      <c r="I120" s="2"/>
      <c r="O120" s="2"/>
      <c r="P120" s="2"/>
      <c r="Q120" s="2"/>
    </row>
    <row r="121" spans="1:18" x14ac:dyDescent="0.4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 x14ac:dyDescent="0.45">
      <c r="A122" s="52"/>
      <c r="B122" s="39"/>
      <c r="P122" s="2"/>
    </row>
    <row r="123" spans="1:18" x14ac:dyDescent="0.45">
      <c r="A123" s="52"/>
      <c r="B123" s="39"/>
      <c r="O123" s="2"/>
      <c r="P123" s="2"/>
      <c r="Q123" s="3"/>
    </row>
    <row r="124" spans="1:18" x14ac:dyDescent="0.45">
      <c r="A124" s="52"/>
      <c r="B124" s="39"/>
      <c r="J124" s="2"/>
      <c r="O124" s="2"/>
      <c r="P124" s="2"/>
      <c r="Q124" s="3"/>
    </row>
    <row r="125" spans="1:18" x14ac:dyDescent="0.45">
      <c r="A125" s="52"/>
      <c r="B125" s="39"/>
      <c r="H125" s="3"/>
      <c r="J125" s="3"/>
      <c r="K125" s="3"/>
      <c r="L125" s="3"/>
      <c r="O125" s="2"/>
      <c r="P125" s="2"/>
      <c r="Q125" s="3"/>
      <c r="R125" s="2"/>
    </row>
    <row r="126" spans="1:18" x14ac:dyDescent="0.45">
      <c r="A126" s="52"/>
      <c r="B126" s="39"/>
      <c r="H126" s="3"/>
      <c r="J126" s="3"/>
      <c r="K126" s="3"/>
      <c r="L126" s="3"/>
      <c r="O126" s="2"/>
      <c r="P126" s="2"/>
      <c r="Q126" s="3"/>
    </row>
    <row r="127" spans="1:18" x14ac:dyDescent="0.45">
      <c r="A127" s="52"/>
      <c r="B127" s="39"/>
      <c r="J127" s="2"/>
      <c r="O127" s="2"/>
      <c r="P127" s="2"/>
      <c r="Q127" s="2"/>
    </row>
    <row r="128" spans="1:18" x14ac:dyDescent="0.4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 x14ac:dyDescent="0.45">
      <c r="A129" s="52"/>
      <c r="B129" s="40"/>
      <c r="P129" s="2"/>
    </row>
    <row r="130" spans="1:18" x14ac:dyDescent="0.45">
      <c r="A130" s="52"/>
      <c r="B130" s="40"/>
      <c r="I130" s="2"/>
      <c r="J130" s="2"/>
      <c r="K130" s="2"/>
      <c r="L130" s="2"/>
      <c r="M130" s="2"/>
      <c r="N130" s="2"/>
      <c r="O130" s="2"/>
      <c r="P130" s="2"/>
      <c r="Q130" s="3"/>
      <c r="R130" s="2"/>
    </row>
    <row r="131" spans="1:18" x14ac:dyDescent="0.45">
      <c r="A131" s="52"/>
      <c r="B131" s="40"/>
      <c r="M131" s="2"/>
      <c r="N131" s="2"/>
      <c r="O131" s="2"/>
      <c r="P131" s="2"/>
      <c r="Q131" s="3"/>
    </row>
    <row r="132" spans="1:18" x14ac:dyDescent="0.45">
      <c r="A132" s="52"/>
      <c r="B132" s="40"/>
      <c r="I132" s="2"/>
      <c r="M132" s="2"/>
      <c r="N132" s="2"/>
      <c r="O132" s="2"/>
      <c r="P132" s="2"/>
      <c r="Q132" s="3"/>
    </row>
    <row r="133" spans="1:18" x14ac:dyDescent="0.45">
      <c r="A133" s="52"/>
      <c r="B133" s="40"/>
      <c r="H133" s="2"/>
      <c r="M133" s="2"/>
      <c r="N133" s="2"/>
      <c r="O133" s="2"/>
      <c r="P133" s="2"/>
      <c r="Q133" s="3"/>
    </row>
    <row r="134" spans="1:18" x14ac:dyDescent="0.45">
      <c r="A134" s="52"/>
      <c r="B134" s="40"/>
      <c r="H134" s="3"/>
      <c r="J134" s="3"/>
      <c r="M134" s="2"/>
      <c r="N134" s="2"/>
      <c r="O134" s="2"/>
      <c r="P134" s="2"/>
      <c r="Q134" s="3"/>
    </row>
    <row r="135" spans="1:18" x14ac:dyDescent="0.4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1:18" x14ac:dyDescent="0.45">
      <c r="A136" s="52"/>
      <c r="B136" s="36"/>
      <c r="P136" s="2"/>
    </row>
    <row r="137" spans="1:18" x14ac:dyDescent="0.45">
      <c r="A137" s="52"/>
      <c r="B137" s="36"/>
      <c r="M137" s="2"/>
      <c r="N137" s="2"/>
      <c r="O137" s="2"/>
      <c r="P137" s="2"/>
      <c r="Q137" s="3"/>
    </row>
    <row r="138" spans="1:18" x14ac:dyDescent="0.45">
      <c r="A138" s="52"/>
      <c r="B138" s="36"/>
      <c r="F138" s="2"/>
      <c r="H138" s="2"/>
      <c r="K138" s="2"/>
      <c r="M138" s="2"/>
      <c r="N138" s="2"/>
      <c r="O138" s="2"/>
      <c r="P138" s="2"/>
      <c r="Q138" s="3"/>
      <c r="R138" s="2"/>
    </row>
    <row r="139" spans="1:18" x14ac:dyDescent="0.45">
      <c r="A139" s="52"/>
      <c r="B139" s="36"/>
      <c r="M139" s="2"/>
      <c r="N139" s="2"/>
      <c r="O139" s="2"/>
      <c r="P139" s="2"/>
      <c r="Q139" s="3"/>
      <c r="R139" s="2"/>
    </row>
    <row r="140" spans="1:18" x14ac:dyDescent="0.45">
      <c r="A140" s="52"/>
      <c r="B140" s="36"/>
      <c r="M140" s="2"/>
      <c r="N140" s="2"/>
      <c r="O140" s="2"/>
      <c r="P140" s="2"/>
      <c r="Q140" s="3"/>
    </row>
    <row r="141" spans="1:18" x14ac:dyDescent="0.45">
      <c r="A141" s="52"/>
      <c r="B141" s="36"/>
      <c r="M141" s="2"/>
      <c r="N141" s="2"/>
      <c r="O141" s="2"/>
      <c r="P141" s="2"/>
      <c r="Q141" s="3"/>
    </row>
    <row r="142" spans="1:18" x14ac:dyDescent="0.4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1:18" x14ac:dyDescent="0.45">
      <c r="A143" s="52"/>
      <c r="B143" s="37"/>
      <c r="P143" s="2"/>
    </row>
    <row r="144" spans="1:18" x14ac:dyDescent="0.45">
      <c r="A144" s="52"/>
      <c r="B144" s="37"/>
      <c r="O144" s="2"/>
      <c r="P144" s="2"/>
      <c r="Q144" s="3"/>
      <c r="R144" s="2"/>
    </row>
    <row r="145" spans="1:18" x14ac:dyDescent="0.45">
      <c r="A145" s="52"/>
      <c r="B145" s="37"/>
      <c r="H145" s="2"/>
      <c r="N145" s="2"/>
      <c r="O145" s="2"/>
      <c r="P145" s="2"/>
      <c r="Q145" s="3"/>
      <c r="R145" s="2"/>
    </row>
    <row r="146" spans="1:18" x14ac:dyDescent="0.45">
      <c r="A146" s="52"/>
      <c r="B146" s="37"/>
      <c r="O146" s="2"/>
      <c r="P146" s="2"/>
      <c r="Q146" s="3"/>
      <c r="R146" s="2"/>
    </row>
    <row r="147" spans="1:18" x14ac:dyDescent="0.45">
      <c r="A147" s="52"/>
      <c r="B147" s="37"/>
      <c r="J147" s="2"/>
      <c r="O147" s="2"/>
      <c r="P147" s="2"/>
      <c r="Q147" s="3"/>
      <c r="R147" s="2"/>
    </row>
    <row r="148" spans="1:18" x14ac:dyDescent="0.45">
      <c r="A148" s="52"/>
      <c r="B148" s="37"/>
      <c r="O148" s="2"/>
      <c r="P148" s="2"/>
      <c r="Q148" s="3"/>
      <c r="R148" s="2"/>
    </row>
    <row r="149" spans="1:18" x14ac:dyDescent="0.4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1:18" x14ac:dyDescent="0.45">
      <c r="A150" s="52"/>
      <c r="B150" s="41"/>
      <c r="P150" s="2"/>
    </row>
    <row r="151" spans="1:18" x14ac:dyDescent="0.45">
      <c r="A151" s="52"/>
      <c r="B151" s="41"/>
      <c r="H151" s="3"/>
      <c r="I151" s="2"/>
      <c r="J151" s="3"/>
      <c r="M151" s="2"/>
      <c r="N151" s="2"/>
      <c r="O151" s="2"/>
      <c r="P151" s="2"/>
      <c r="Q151" s="3"/>
      <c r="R151" s="2"/>
    </row>
    <row r="152" spans="1:18" x14ac:dyDescent="0.45">
      <c r="A152" s="52"/>
      <c r="B152" s="41"/>
      <c r="I152" s="2"/>
      <c r="J152" s="2"/>
      <c r="O152" s="2"/>
      <c r="P152" s="2"/>
      <c r="Q152" s="3"/>
      <c r="R152" s="2"/>
    </row>
    <row r="153" spans="1:18" x14ac:dyDescent="0.45">
      <c r="A153" s="52"/>
      <c r="B153" s="41"/>
      <c r="I153" s="2"/>
      <c r="O153" s="2"/>
      <c r="P153" s="2"/>
      <c r="Q153" s="3"/>
      <c r="R153" s="2"/>
    </row>
    <row r="154" spans="1:18" x14ac:dyDescent="0.45">
      <c r="A154" s="52"/>
      <c r="B154" s="41"/>
      <c r="O154" s="2"/>
      <c r="P154" s="2"/>
      <c r="Q154" s="3"/>
      <c r="R154" s="2"/>
    </row>
    <row r="155" spans="1:18" x14ac:dyDescent="0.45">
      <c r="A155" s="52"/>
      <c r="B155" s="41"/>
      <c r="I155" s="2"/>
      <c r="O155" s="2"/>
      <c r="P155" s="2"/>
      <c r="Q155" s="3"/>
      <c r="R155" s="2"/>
    </row>
    <row r="156" spans="1:18" x14ac:dyDescent="0.4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1:18" x14ac:dyDescent="0.45">
      <c r="A157" s="52"/>
      <c r="B157" s="42"/>
      <c r="P157" s="2"/>
    </row>
    <row r="158" spans="1:18" x14ac:dyDescent="0.45">
      <c r="A158" s="52"/>
      <c r="B158" s="42"/>
      <c r="K158" s="2"/>
      <c r="O158" s="2"/>
      <c r="P158" s="2"/>
      <c r="Q158" s="3"/>
      <c r="R158" s="2"/>
    </row>
    <row r="159" spans="1:18" x14ac:dyDescent="0.45">
      <c r="A159" s="52"/>
      <c r="B159" s="42"/>
      <c r="I159" s="2"/>
      <c r="O159" s="2"/>
      <c r="P159" s="2"/>
      <c r="Q159" s="3"/>
      <c r="R159" s="2"/>
    </row>
    <row r="160" spans="1:18" x14ac:dyDescent="0.45">
      <c r="A160" s="52"/>
      <c r="B160" s="42"/>
      <c r="O160" s="2"/>
      <c r="P160" s="2"/>
      <c r="Q160" s="3"/>
      <c r="R160" s="2"/>
    </row>
    <row r="161" spans="1:18" x14ac:dyDescent="0.45">
      <c r="A161" s="52"/>
      <c r="B161" s="42"/>
      <c r="I161" s="2"/>
      <c r="N161" s="2"/>
      <c r="O161" s="2"/>
      <c r="P161" s="2"/>
      <c r="Q161" s="3"/>
      <c r="R161" s="2"/>
    </row>
    <row r="162" spans="1:18" x14ac:dyDescent="0.45">
      <c r="A162" s="52"/>
      <c r="B162" s="42"/>
      <c r="O162" s="2"/>
      <c r="P162" s="2"/>
      <c r="Q162" s="3"/>
      <c r="R162" s="2"/>
    </row>
    <row r="163" spans="1:18" x14ac:dyDescent="0.4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1:18" x14ac:dyDescent="0.45">
      <c r="A164" s="52"/>
      <c r="B164" s="43"/>
      <c r="P164" s="2"/>
    </row>
    <row r="165" spans="1:18" x14ac:dyDescent="0.45">
      <c r="A165" s="52"/>
      <c r="B165" s="43"/>
      <c r="M165" s="2"/>
      <c r="N165" s="2"/>
      <c r="O165" s="2"/>
      <c r="P165" s="2"/>
      <c r="Q165" s="3"/>
      <c r="R165" s="2"/>
    </row>
    <row r="166" spans="1:18" x14ac:dyDescent="0.45">
      <c r="A166" s="52"/>
      <c r="B166" s="43"/>
      <c r="G166" s="2"/>
      <c r="M166" s="2"/>
      <c r="N166" s="2"/>
      <c r="O166" s="2"/>
      <c r="P166" s="2"/>
      <c r="Q166" s="3"/>
      <c r="R166" s="2"/>
    </row>
    <row r="167" spans="1:18" x14ac:dyDescent="0.45">
      <c r="A167" s="52"/>
      <c r="B167" s="43"/>
      <c r="M167" s="2"/>
      <c r="N167" s="2"/>
      <c r="O167" s="2"/>
      <c r="P167" s="2"/>
      <c r="Q167" s="3"/>
      <c r="R167" s="2"/>
    </row>
    <row r="168" spans="1:18" x14ac:dyDescent="0.45">
      <c r="A168" s="52"/>
      <c r="B168" s="43"/>
      <c r="G168" s="2"/>
      <c r="M168" s="2"/>
      <c r="N168" s="2"/>
      <c r="O168" s="2"/>
      <c r="P168" s="2"/>
      <c r="Q168" s="3"/>
      <c r="R168" s="2"/>
    </row>
    <row r="169" spans="1:18" x14ac:dyDescent="0.45">
      <c r="A169" s="52"/>
      <c r="B169" s="43"/>
      <c r="H169" s="2"/>
      <c r="M169" s="2"/>
      <c r="N169" s="2"/>
      <c r="O169" s="2"/>
      <c r="P169" s="2"/>
      <c r="Q169" s="3"/>
      <c r="R169" s="2"/>
    </row>
    <row r="170" spans="1:18" x14ac:dyDescent="0.4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1:18" x14ac:dyDescent="0.45">
      <c r="A171" s="52"/>
      <c r="B171" s="38"/>
      <c r="P171" s="2"/>
    </row>
    <row r="172" spans="1:18" x14ac:dyDescent="0.45">
      <c r="A172" s="52"/>
      <c r="B172" s="38"/>
      <c r="E172" s="2"/>
      <c r="L172" s="2"/>
      <c r="M172" s="2"/>
      <c r="N172" s="2"/>
      <c r="O172" s="2"/>
      <c r="P172" s="2"/>
      <c r="Q172" s="3"/>
    </row>
    <row r="173" spans="1:18" x14ac:dyDescent="0.45">
      <c r="A173" s="52"/>
      <c r="B173" s="38"/>
      <c r="L173" s="2"/>
      <c r="M173" s="2"/>
      <c r="N173" s="2"/>
      <c r="O173" s="2"/>
      <c r="P173" s="2"/>
      <c r="Q173" s="3"/>
      <c r="R173" s="2"/>
    </row>
    <row r="174" spans="1:18" x14ac:dyDescent="0.45">
      <c r="A174" s="52"/>
      <c r="B174" s="38"/>
      <c r="L174" s="2"/>
      <c r="M174" s="2"/>
      <c r="N174" s="2"/>
      <c r="O174" s="2"/>
      <c r="P174" s="2"/>
      <c r="Q174" s="3"/>
    </row>
    <row r="175" spans="1:18" x14ac:dyDescent="0.45">
      <c r="A175" s="52"/>
      <c r="B175" s="38"/>
      <c r="L175" s="2"/>
      <c r="M175" s="2"/>
      <c r="N175" s="2"/>
      <c r="O175" s="2"/>
      <c r="P175" s="2"/>
      <c r="Q175" s="3"/>
    </row>
    <row r="176" spans="1:18" x14ac:dyDescent="0.45">
      <c r="A176" s="52"/>
      <c r="B176" s="38"/>
      <c r="K176" s="2"/>
      <c r="L176" s="2"/>
      <c r="M176" s="2"/>
      <c r="N176" s="2"/>
      <c r="O176" s="2"/>
      <c r="P176" s="2"/>
      <c r="Q176" s="3"/>
    </row>
    <row r="177" spans="1:18" x14ac:dyDescent="0.4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spans="1:18" x14ac:dyDescent="0.45">
      <c r="A178" s="52"/>
      <c r="B178" s="44"/>
      <c r="P178" s="2"/>
    </row>
    <row r="179" spans="1:18" x14ac:dyDescent="0.45">
      <c r="A179" s="52"/>
      <c r="B179" s="44"/>
      <c r="L179" s="2"/>
      <c r="M179" s="2"/>
      <c r="N179" s="2"/>
      <c r="O179" s="2"/>
      <c r="P179" s="2"/>
      <c r="Q179" s="3"/>
    </row>
    <row r="180" spans="1:18" x14ac:dyDescent="0.45">
      <c r="A180" s="52"/>
      <c r="B180" s="44"/>
      <c r="H180" s="2"/>
      <c r="L180" s="2"/>
      <c r="M180" s="2"/>
      <c r="N180" s="2"/>
      <c r="O180" s="2"/>
      <c r="P180" s="2"/>
      <c r="Q180" s="3"/>
    </row>
    <row r="181" spans="1:18" x14ac:dyDescent="0.45">
      <c r="A181" s="52"/>
      <c r="B181" s="44"/>
      <c r="L181" s="2"/>
      <c r="M181" s="2"/>
      <c r="N181" s="2"/>
      <c r="O181" s="2"/>
      <c r="P181" s="2"/>
      <c r="Q181" s="3"/>
    </row>
    <row r="182" spans="1:18" x14ac:dyDescent="0.45">
      <c r="A182" s="52"/>
      <c r="B182" s="44"/>
      <c r="L182" s="2"/>
      <c r="M182" s="2"/>
      <c r="N182" s="2"/>
      <c r="O182" s="2"/>
      <c r="P182" s="2"/>
      <c r="Q182" s="3"/>
    </row>
    <row r="183" spans="1:18" x14ac:dyDescent="0.45">
      <c r="A183" s="52"/>
      <c r="B183" s="44"/>
      <c r="G183" s="2"/>
      <c r="I183" s="2"/>
      <c r="K183" s="2"/>
      <c r="L183" s="2"/>
      <c r="M183" s="2"/>
      <c r="N183" s="2"/>
      <c r="O183" s="2"/>
      <c r="P183" s="2"/>
      <c r="Q183" s="3"/>
    </row>
    <row r="184" spans="1:18" x14ac:dyDescent="0.4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1:18" x14ac:dyDescent="0.45">
      <c r="A185" s="52"/>
      <c r="B185" s="45"/>
    </row>
    <row r="186" spans="1:18" x14ac:dyDescent="0.45">
      <c r="A186" s="52"/>
      <c r="B186" s="45"/>
      <c r="L186" s="2"/>
      <c r="M186" s="2"/>
      <c r="N186" s="2"/>
      <c r="O186" s="2"/>
      <c r="P186" s="2"/>
    </row>
    <row r="187" spans="1:18" x14ac:dyDescent="0.45">
      <c r="A187" s="52"/>
      <c r="B187" s="45"/>
      <c r="L187" s="2"/>
      <c r="M187" s="2"/>
      <c r="N187" s="2"/>
      <c r="O187" s="2"/>
      <c r="P187" s="2"/>
      <c r="Q187" s="3"/>
    </row>
    <row r="188" spans="1:18" x14ac:dyDescent="0.45">
      <c r="A188" s="52"/>
      <c r="B188" s="45"/>
      <c r="L188" s="2"/>
      <c r="M188" s="2"/>
      <c r="N188" s="2"/>
      <c r="O188" s="2"/>
      <c r="P188" s="2"/>
      <c r="Q188" s="3"/>
    </row>
    <row r="189" spans="1:18" x14ac:dyDescent="0.45">
      <c r="A189" s="52"/>
      <c r="B189" s="45"/>
      <c r="G189" s="2"/>
      <c r="J189" s="2"/>
      <c r="L189" s="2"/>
      <c r="M189" s="2"/>
      <c r="N189" s="2"/>
      <c r="O189" s="2"/>
      <c r="P189" s="2"/>
      <c r="Q189" s="3"/>
    </row>
    <row r="190" spans="1:18" x14ac:dyDescent="0.45">
      <c r="A190" s="52"/>
      <c r="B190" s="45"/>
      <c r="I190" s="2"/>
      <c r="J190" s="2"/>
      <c r="L190" s="2"/>
      <c r="M190" s="2"/>
      <c r="N190" s="2"/>
      <c r="O190" s="2"/>
      <c r="P190" s="2"/>
      <c r="Q190" s="3"/>
    </row>
    <row r="191" spans="1:18" x14ac:dyDescent="0.4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spans="1:18" x14ac:dyDescent="0.45">
      <c r="A192" s="52"/>
      <c r="B192" s="46"/>
      <c r="P192" s="2"/>
    </row>
    <row r="193" spans="1:18" x14ac:dyDescent="0.45">
      <c r="A193" s="52"/>
      <c r="B193" s="46"/>
      <c r="E193" s="2"/>
      <c r="H193" s="2"/>
      <c r="J193" s="2"/>
      <c r="L193" s="2"/>
      <c r="M193" s="2"/>
      <c r="N193" s="2"/>
      <c r="O193" s="2"/>
      <c r="P193" s="2"/>
      <c r="Q193" s="3"/>
    </row>
    <row r="194" spans="1:18" x14ac:dyDescent="0.45">
      <c r="A194" s="52"/>
      <c r="B194" s="46"/>
      <c r="I194" s="2"/>
      <c r="L194" s="2"/>
      <c r="M194" s="2"/>
      <c r="N194" s="2"/>
      <c r="O194" s="2"/>
      <c r="P194" s="2"/>
      <c r="Q194" s="3"/>
    </row>
    <row r="195" spans="1:18" x14ac:dyDescent="0.45">
      <c r="A195" s="52"/>
      <c r="B195" s="46"/>
      <c r="H195" s="2"/>
      <c r="I195" s="2"/>
      <c r="L195" s="2"/>
      <c r="M195" s="2"/>
      <c r="N195" s="2"/>
      <c r="O195" s="2"/>
      <c r="P195" s="2"/>
      <c r="Q195" s="3"/>
      <c r="R195" s="2"/>
    </row>
    <row r="196" spans="1:18" x14ac:dyDescent="0.45">
      <c r="A196" s="52"/>
      <c r="B196" s="46"/>
      <c r="L196" s="2"/>
      <c r="M196" s="2"/>
      <c r="N196" s="2"/>
      <c r="O196" s="2"/>
      <c r="P196" s="2"/>
      <c r="Q196" s="3"/>
    </row>
    <row r="197" spans="1:18" x14ac:dyDescent="0.45">
      <c r="A197" s="52"/>
      <c r="B197" s="46"/>
      <c r="I197" s="2"/>
      <c r="L197" s="2"/>
      <c r="M197" s="2"/>
      <c r="N197" s="2"/>
      <c r="O197" s="2"/>
      <c r="P197" s="2"/>
      <c r="Q197" s="3"/>
    </row>
    <row r="198" spans="1:18" x14ac:dyDescent="0.4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spans="1:18" x14ac:dyDescent="0.45">
      <c r="A199" s="52"/>
      <c r="B199" s="47"/>
    </row>
    <row r="200" spans="1:18" x14ac:dyDescent="0.45">
      <c r="A200" s="52"/>
      <c r="B200" s="47"/>
      <c r="L200" s="2"/>
      <c r="O200" s="2"/>
      <c r="R200" s="2"/>
    </row>
    <row r="201" spans="1:18" x14ac:dyDescent="0.45">
      <c r="A201" s="52"/>
      <c r="B201" s="47"/>
      <c r="L201" s="2"/>
      <c r="O201" s="2"/>
      <c r="R201" s="2"/>
    </row>
    <row r="202" spans="1:18" x14ac:dyDescent="0.45">
      <c r="A202" s="52"/>
      <c r="B202" s="47"/>
      <c r="K202" s="2"/>
      <c r="L202" s="2"/>
      <c r="O202" s="2"/>
      <c r="Q202" s="3"/>
    </row>
    <row r="203" spans="1:18" x14ac:dyDescent="0.45">
      <c r="A203" s="52"/>
      <c r="B203" s="47"/>
      <c r="L203" s="2"/>
      <c r="O203" s="2"/>
      <c r="P203" s="2"/>
      <c r="Q203" s="3"/>
    </row>
    <row r="204" spans="1:18" x14ac:dyDescent="0.45">
      <c r="A204" s="52"/>
      <c r="B204" s="47"/>
      <c r="F204" s="2"/>
      <c r="H204" s="2"/>
      <c r="L204" s="2"/>
      <c r="N204" s="2"/>
      <c r="O204" s="2"/>
      <c r="Q204" s="3"/>
    </row>
    <row r="205" spans="1:18" x14ac:dyDescent="0.4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spans="1:18" x14ac:dyDescent="0.45">
      <c r="A206" s="52"/>
      <c r="B206" s="48"/>
      <c r="P206" s="2"/>
    </row>
    <row r="207" spans="1:18" x14ac:dyDescent="0.45">
      <c r="A207" s="52"/>
      <c r="B207" s="48"/>
      <c r="J207" s="2"/>
      <c r="L207" s="2"/>
      <c r="O207" s="2"/>
      <c r="Q207" s="3"/>
      <c r="R207" s="2"/>
    </row>
    <row r="208" spans="1:18" x14ac:dyDescent="0.45">
      <c r="A208" s="52"/>
      <c r="B208" s="48"/>
      <c r="H208" s="2"/>
      <c r="L208" s="2"/>
      <c r="O208" s="2"/>
      <c r="Q208" s="3"/>
      <c r="R208" s="2"/>
    </row>
    <row r="209" spans="1:18" x14ac:dyDescent="0.45">
      <c r="A209" s="52"/>
      <c r="B209" s="48"/>
      <c r="L209" s="2"/>
      <c r="O209" s="2"/>
      <c r="Q209" s="3"/>
    </row>
    <row r="210" spans="1:18" x14ac:dyDescent="0.45">
      <c r="A210" s="52"/>
      <c r="B210" s="48"/>
      <c r="L210" s="2"/>
      <c r="O210" s="2"/>
      <c r="Q210" s="3"/>
    </row>
    <row r="211" spans="1:18" x14ac:dyDescent="0.45">
      <c r="A211" s="52"/>
      <c r="B211" s="48"/>
      <c r="L211" s="2"/>
      <c r="M211" s="2"/>
      <c r="O211" s="2"/>
      <c r="Q211" s="3"/>
    </row>
    <row r="212" spans="1:18" x14ac:dyDescent="0.4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spans="1:18" x14ac:dyDescent="0.45">
      <c r="A213" s="52"/>
      <c r="B213" s="49"/>
      <c r="P213" s="2"/>
    </row>
    <row r="214" spans="1:18" x14ac:dyDescent="0.45">
      <c r="A214" s="52"/>
      <c r="B214" s="49"/>
      <c r="E214" s="2"/>
      <c r="L214" s="2"/>
      <c r="M214" s="2"/>
      <c r="N214" s="2"/>
      <c r="O214" s="2"/>
      <c r="P214" s="2"/>
      <c r="Q214" s="3"/>
    </row>
    <row r="215" spans="1:18" x14ac:dyDescent="0.45">
      <c r="A215" s="52"/>
      <c r="B215" s="49"/>
      <c r="K215" s="2"/>
      <c r="L215" s="2"/>
      <c r="M215" s="2"/>
      <c r="O215" s="2"/>
      <c r="Q215" s="3"/>
    </row>
    <row r="216" spans="1:18" x14ac:dyDescent="0.45">
      <c r="A216" s="52"/>
      <c r="B216" s="49"/>
      <c r="E216" s="2"/>
      <c r="H216" s="2"/>
      <c r="L216" s="2"/>
      <c r="M216" s="2"/>
      <c r="O216" s="2"/>
      <c r="P216" s="2"/>
      <c r="Q216" s="3"/>
    </row>
    <row r="217" spans="1:18" x14ac:dyDescent="0.45">
      <c r="A217" s="52"/>
      <c r="B217" s="49"/>
      <c r="L217" s="2"/>
      <c r="M217" s="2"/>
      <c r="O217" s="2"/>
      <c r="P217" s="2"/>
      <c r="Q217" s="3"/>
    </row>
    <row r="218" spans="1:18" x14ac:dyDescent="0.45">
      <c r="A218" s="52"/>
      <c r="B218" s="49"/>
      <c r="H218" s="10"/>
      <c r="J218" s="10"/>
      <c r="L218" s="2"/>
      <c r="M218" s="2"/>
      <c r="O218" s="2"/>
      <c r="Q218" s="3"/>
    </row>
    <row r="219" spans="1:18" x14ac:dyDescent="0.4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spans="1:18" x14ac:dyDescent="0.45">
      <c r="A220" s="52"/>
      <c r="B220" s="50"/>
    </row>
    <row r="221" spans="1:18" x14ac:dyDescent="0.45">
      <c r="A221" s="52"/>
      <c r="B221" s="50"/>
      <c r="O221" s="2"/>
      <c r="P221" s="2"/>
      <c r="Q221" s="3"/>
    </row>
    <row r="222" spans="1:18" x14ac:dyDescent="0.45">
      <c r="A222" s="52"/>
      <c r="B222" s="50"/>
      <c r="G222" s="11"/>
      <c r="H222" s="10"/>
      <c r="J222" s="10"/>
      <c r="K222" s="10"/>
      <c r="O222" s="2"/>
      <c r="Q222" s="3"/>
    </row>
    <row r="223" spans="1:18" x14ac:dyDescent="0.45">
      <c r="A223" s="52"/>
      <c r="B223" s="50"/>
      <c r="G223" s="2"/>
      <c r="H223" s="10"/>
      <c r="J223" s="10"/>
      <c r="K223" s="10"/>
      <c r="O223" s="2"/>
      <c r="Q223" s="3"/>
    </row>
    <row r="224" spans="1:18" x14ac:dyDescent="0.45">
      <c r="A224" s="52"/>
      <c r="B224" s="50"/>
      <c r="N224" s="2"/>
      <c r="O224" s="2"/>
      <c r="Q224" s="3"/>
    </row>
    <row r="225" spans="1:17" x14ac:dyDescent="0.45">
      <c r="A225" s="52"/>
      <c r="B225" s="50"/>
      <c r="L225" s="2"/>
      <c r="O225" s="2"/>
      <c r="Q225" s="3"/>
    </row>
  </sheetData>
  <mergeCells count="68">
    <mergeCell ref="A213:A218"/>
    <mergeCell ref="A220:A225"/>
    <mergeCell ref="A115:A120"/>
    <mergeCell ref="A178:A183"/>
    <mergeCell ref="A185:A190"/>
    <mergeCell ref="A192:A197"/>
    <mergeCell ref="A199:A204"/>
    <mergeCell ref="A206:A211"/>
    <mergeCell ref="A143:A148"/>
    <mergeCell ref="A150:A155"/>
    <mergeCell ref="A157:A162"/>
    <mergeCell ref="A164:A169"/>
    <mergeCell ref="A171:A176"/>
    <mergeCell ref="A108:A113"/>
    <mergeCell ref="A122:A127"/>
    <mergeCell ref="A129:A134"/>
    <mergeCell ref="A136:A141"/>
    <mergeCell ref="A73:A78"/>
    <mergeCell ref="A80:A85"/>
    <mergeCell ref="A87:A92"/>
    <mergeCell ref="A94:A99"/>
    <mergeCell ref="A101:A106"/>
    <mergeCell ref="A38:A43"/>
    <mergeCell ref="A45:A50"/>
    <mergeCell ref="A52:A57"/>
    <mergeCell ref="A59:A64"/>
    <mergeCell ref="A66:A71"/>
    <mergeCell ref="A3:A8"/>
    <mergeCell ref="A10:A15"/>
    <mergeCell ref="A17:A22"/>
    <mergeCell ref="A24:A29"/>
    <mergeCell ref="A31:A36"/>
    <mergeCell ref="B192:B197"/>
    <mergeCell ref="B199:B204"/>
    <mergeCell ref="B206:B211"/>
    <mergeCell ref="B213:B218"/>
    <mergeCell ref="B220:B225"/>
    <mergeCell ref="B157:B162"/>
    <mergeCell ref="B164:B169"/>
    <mergeCell ref="B171:B176"/>
    <mergeCell ref="B178:B183"/>
    <mergeCell ref="B185:B190"/>
    <mergeCell ref="B122:B127"/>
    <mergeCell ref="B129:B134"/>
    <mergeCell ref="B136:B141"/>
    <mergeCell ref="B143:B148"/>
    <mergeCell ref="B150:B155"/>
    <mergeCell ref="B87:B92"/>
    <mergeCell ref="B94:B99"/>
    <mergeCell ref="B101:B106"/>
    <mergeCell ref="B108:B113"/>
    <mergeCell ref="B115:B120"/>
    <mergeCell ref="B59:B64"/>
    <mergeCell ref="B66:B71"/>
    <mergeCell ref="B73:B78"/>
    <mergeCell ref="B80:B85"/>
    <mergeCell ref="P1:R1"/>
    <mergeCell ref="D1:O1"/>
    <mergeCell ref="B52:B57"/>
    <mergeCell ref="B1:B2"/>
    <mergeCell ref="C1:C2"/>
    <mergeCell ref="B10:B15"/>
    <mergeCell ref="B3:B8"/>
    <mergeCell ref="B17:B22"/>
    <mergeCell ref="B24:B29"/>
    <mergeCell ref="B31:B36"/>
    <mergeCell ref="B38:B43"/>
    <mergeCell ref="B45:B5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/>
  </sheetViews>
  <sheetFormatPr defaultRowHeight="14.25" x14ac:dyDescent="0.45"/>
  <cols>
    <col min="1" max="1" width="7.19921875" customWidth="1"/>
    <col min="2" max="2" width="24.53125" customWidth="1"/>
    <col min="3" max="3" width="18.796875" customWidth="1"/>
  </cols>
  <sheetData>
    <row r="1" spans="1:3" x14ac:dyDescent="0.45">
      <c r="A1" s="12" t="s">
        <v>58</v>
      </c>
      <c r="B1" s="12" t="s">
        <v>59</v>
      </c>
      <c r="C1" s="12" t="s">
        <v>60</v>
      </c>
    </row>
    <row r="2" spans="1:3" x14ac:dyDescent="0.45">
      <c r="A2" s="13">
        <v>1</v>
      </c>
      <c r="B2" s="13" t="s">
        <v>40</v>
      </c>
      <c r="C2" s="53" t="s">
        <v>61</v>
      </c>
    </row>
    <row r="3" spans="1:3" x14ac:dyDescent="0.45">
      <c r="A3" s="13">
        <v>2</v>
      </c>
      <c r="B3" s="13" t="s">
        <v>41</v>
      </c>
      <c r="C3" s="53"/>
    </row>
    <row r="4" spans="1:3" x14ac:dyDescent="0.45">
      <c r="A4" s="13">
        <v>3</v>
      </c>
      <c r="B4" s="13" t="s">
        <v>42</v>
      </c>
      <c r="C4" s="53"/>
    </row>
    <row r="5" spans="1:3" x14ac:dyDescent="0.45">
      <c r="A5" s="13">
        <v>4</v>
      </c>
      <c r="B5" s="13" t="s">
        <v>43</v>
      </c>
      <c r="C5" s="53"/>
    </row>
    <row r="6" spans="1:3" x14ac:dyDescent="0.45">
      <c r="A6" s="13">
        <v>5</v>
      </c>
      <c r="B6" s="13" t="s">
        <v>44</v>
      </c>
      <c r="C6" s="53"/>
    </row>
    <row r="7" spans="1:3" x14ac:dyDescent="0.45">
      <c r="A7" s="13">
        <v>6</v>
      </c>
      <c r="B7" s="13" t="s">
        <v>45</v>
      </c>
      <c r="C7" s="53"/>
    </row>
    <row r="8" spans="1:3" x14ac:dyDescent="0.45">
      <c r="A8" s="13">
        <v>7</v>
      </c>
      <c r="B8" s="13" t="s">
        <v>46</v>
      </c>
      <c r="C8" s="53"/>
    </row>
    <row r="9" spans="1:3" x14ac:dyDescent="0.45">
      <c r="A9" s="13">
        <v>8</v>
      </c>
      <c r="B9" s="13" t="s">
        <v>47</v>
      </c>
      <c r="C9" s="53"/>
    </row>
    <row r="10" spans="1:3" x14ac:dyDescent="0.45">
      <c r="A10" s="13">
        <v>9</v>
      </c>
      <c r="B10" s="13" t="s">
        <v>48</v>
      </c>
      <c r="C10" s="53"/>
    </row>
    <row r="11" spans="1:3" x14ac:dyDescent="0.45">
      <c r="A11" s="13">
        <v>10</v>
      </c>
      <c r="B11" s="13" t="s">
        <v>28</v>
      </c>
      <c r="C11" s="53"/>
    </row>
    <row r="12" spans="1:3" x14ac:dyDescent="0.45">
      <c r="A12" s="13">
        <v>11</v>
      </c>
      <c r="B12" s="13" t="s">
        <v>49</v>
      </c>
      <c r="C12" s="53"/>
    </row>
    <row r="13" spans="1:3" x14ac:dyDescent="0.45">
      <c r="A13" s="13">
        <v>12</v>
      </c>
      <c r="B13" s="13" t="s">
        <v>50</v>
      </c>
      <c r="C13" s="53"/>
    </row>
    <row r="14" spans="1:3" x14ac:dyDescent="0.45">
      <c r="A14" s="13">
        <v>13</v>
      </c>
      <c r="B14" s="13" t="s">
        <v>22</v>
      </c>
      <c r="C14" s="54" t="s">
        <v>63</v>
      </c>
    </row>
    <row r="15" spans="1:3" x14ac:dyDescent="0.45">
      <c r="A15" s="13">
        <v>14</v>
      </c>
      <c r="B15" s="13" t="s">
        <v>23</v>
      </c>
      <c r="C15" s="54"/>
    </row>
    <row r="16" spans="1:3" x14ac:dyDescent="0.45">
      <c r="A16" s="13">
        <v>15</v>
      </c>
      <c r="B16" s="13" t="s">
        <v>51</v>
      </c>
      <c r="C16" s="54"/>
    </row>
    <row r="17" spans="1:3" x14ac:dyDescent="0.45">
      <c r="A17" s="13">
        <v>16</v>
      </c>
      <c r="B17" s="13" t="s">
        <v>65</v>
      </c>
      <c r="C17" s="54"/>
    </row>
    <row r="18" spans="1:3" x14ac:dyDescent="0.45">
      <c r="A18" s="13">
        <v>17</v>
      </c>
      <c r="B18" s="13" t="s">
        <v>24</v>
      </c>
      <c r="C18" s="54"/>
    </row>
    <row r="19" spans="1:3" x14ac:dyDescent="0.45">
      <c r="A19" s="13">
        <v>18</v>
      </c>
      <c r="B19" s="13" t="s">
        <v>52</v>
      </c>
      <c r="C19" s="54"/>
    </row>
    <row r="20" spans="1:3" x14ac:dyDescent="0.45">
      <c r="A20" s="13">
        <v>19</v>
      </c>
      <c r="B20" s="13" t="s">
        <v>32</v>
      </c>
      <c r="C20" s="54"/>
    </row>
    <row r="21" spans="1:3" x14ac:dyDescent="0.45">
      <c r="A21" s="13">
        <v>20</v>
      </c>
      <c r="B21" s="13" t="s">
        <v>53</v>
      </c>
      <c r="C21" s="54"/>
    </row>
    <row r="22" spans="1:3" x14ac:dyDescent="0.45">
      <c r="A22" s="13">
        <v>21</v>
      </c>
      <c r="B22" s="13" t="s">
        <v>33</v>
      </c>
      <c r="C22" s="54"/>
    </row>
    <row r="23" spans="1:3" x14ac:dyDescent="0.45">
      <c r="A23" s="13">
        <v>22</v>
      </c>
      <c r="B23" s="13" t="s">
        <v>54</v>
      </c>
      <c r="C23" s="54"/>
    </row>
    <row r="24" spans="1:3" x14ac:dyDescent="0.45">
      <c r="A24" s="13">
        <v>23</v>
      </c>
      <c r="B24" s="13" t="s">
        <v>34</v>
      </c>
      <c r="C24" s="54"/>
    </row>
    <row r="25" spans="1:3" x14ac:dyDescent="0.45">
      <c r="A25" s="13">
        <v>24</v>
      </c>
      <c r="B25" s="13" t="s">
        <v>35</v>
      </c>
      <c r="C25" s="54"/>
    </row>
    <row r="26" spans="1:3" x14ac:dyDescent="0.45">
      <c r="A26" s="13">
        <v>25</v>
      </c>
      <c r="B26" s="13" t="s">
        <v>36</v>
      </c>
      <c r="C26" s="54"/>
    </row>
    <row r="27" spans="1:3" x14ac:dyDescent="0.45">
      <c r="A27" s="13">
        <v>26</v>
      </c>
      <c r="B27" s="13" t="s">
        <v>37</v>
      </c>
      <c r="C27" s="54"/>
    </row>
    <row r="28" spans="1:3" x14ac:dyDescent="0.45">
      <c r="A28" s="13">
        <v>27</v>
      </c>
      <c r="B28" s="13" t="s">
        <v>38</v>
      </c>
      <c r="C28" s="54"/>
    </row>
    <row r="29" spans="1:3" x14ac:dyDescent="0.45">
      <c r="A29" s="13">
        <v>28</v>
      </c>
      <c r="B29" s="13" t="s">
        <v>39</v>
      </c>
      <c r="C29" s="54"/>
    </row>
    <row r="30" spans="1:3" x14ac:dyDescent="0.45">
      <c r="A30" s="13">
        <v>29</v>
      </c>
      <c r="B30" s="13" t="s">
        <v>55</v>
      </c>
      <c r="C30" s="54"/>
    </row>
    <row r="31" spans="1:3" x14ac:dyDescent="0.45">
      <c r="A31" s="13">
        <v>30</v>
      </c>
      <c r="B31" s="13" t="s">
        <v>56</v>
      </c>
      <c r="C31" s="54"/>
    </row>
    <row r="32" spans="1:3" x14ac:dyDescent="0.45">
      <c r="A32" s="13">
        <v>31</v>
      </c>
      <c r="B32" s="13" t="s">
        <v>62</v>
      </c>
      <c r="C32" s="54"/>
    </row>
    <row r="33" spans="1:3" x14ac:dyDescent="0.45">
      <c r="A33" s="13">
        <v>32</v>
      </c>
      <c r="B33" s="13" t="s">
        <v>57</v>
      </c>
      <c r="C33" s="13" t="s">
        <v>64</v>
      </c>
    </row>
  </sheetData>
  <mergeCells count="2">
    <mergeCell ref="C2:C13"/>
    <mergeCell ref="C14:C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PSB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Kshirod Panigrahi     /TxB./IBANK/KOL</dc:creator>
  <cp:lastModifiedBy>MUKESH G</cp:lastModifiedBy>
  <dcterms:created xsi:type="dcterms:W3CDTF">2022-10-21T09:23:42Z</dcterms:created>
  <dcterms:modified xsi:type="dcterms:W3CDTF">2026-01-12T06:21:33Z</dcterms:modified>
</cp:coreProperties>
</file>